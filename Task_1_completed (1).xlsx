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cial Media Analytics" sheetId="1" state="visible" r:id="rId3"/>
    <sheet name="Pivot Table" sheetId="2" state="visible" r:id="rId4"/>
  </sheets>
  <definedNames>
    <definedName function="false" hidden="true" localSheetId="0" name="_xlnm._FilterDatabase" vbProcedure="false">'Social Media Analytics'!$A$1:$J$1001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<sst xmlns="http://schemas.openxmlformats.org/spreadsheetml/2006/main" count="3033" uniqueCount="1031">
  <si>
    <t xml:space="preserve">Post ID</t>
  </si>
  <si>
    <t xml:space="preserve">Platform</t>
  </si>
  <si>
    <t xml:space="preserve">Post Date</t>
  </si>
  <si>
    <t xml:space="preserve">Content Type</t>
  </si>
  <si>
    <t xml:space="preserve">Impressions</t>
  </si>
  <si>
    <t xml:space="preserve">Reach</t>
  </si>
  <si>
    <t xml:space="preserve">Likes</t>
  </si>
  <si>
    <t xml:space="preserve">Comments</t>
  </si>
  <si>
    <t xml:space="preserve">Shares</t>
  </si>
  <si>
    <t xml:space="preserve">Engagement Rate %</t>
  </si>
  <si>
    <t xml:space="preserve">Engagement Rate</t>
  </si>
  <si>
    <t xml:space="preserve">Total Shares</t>
  </si>
  <si>
    <t xml:space="preserve">Q1 Answer</t>
  </si>
  <si>
    <t xml:space="preserve">POST-60001</t>
  </si>
  <si>
    <t xml:space="preserve">Facebook</t>
  </si>
  <si>
    <t xml:space="preserve">Text</t>
  </si>
  <si>
    <t xml:space="preserve">Content type with highest total shares:</t>
  </si>
  <si>
    <t xml:space="preserve">POST-60002</t>
  </si>
  <si>
    <t xml:space="preserve">Instagram</t>
  </si>
  <si>
    <t xml:space="preserve">Image</t>
  </si>
  <si>
    <t xml:space="preserve">Total shares for that content type:</t>
  </si>
  <si>
    <t xml:space="preserve">POST-60003</t>
  </si>
  <si>
    <t xml:space="preserve">Twitter</t>
  </si>
  <si>
    <t xml:space="preserve">Video</t>
  </si>
  <si>
    <t xml:space="preserve">POST-60004</t>
  </si>
  <si>
    <t xml:space="preserve">TikTok</t>
  </si>
  <si>
    <t xml:space="preserve">Reel</t>
  </si>
  <si>
    <t xml:space="preserve">POST-60005</t>
  </si>
  <si>
    <t xml:space="preserve">Carousel</t>
  </si>
  <si>
    <t xml:space="preserve">POST-60006</t>
  </si>
  <si>
    <t xml:space="preserve">POST-60007</t>
  </si>
  <si>
    <t xml:space="preserve">winner</t>
  </si>
  <si>
    <t xml:space="preserve">POST-60008</t>
  </si>
  <si>
    <t xml:space="preserve">LinkedIn</t>
  </si>
  <si>
    <t xml:space="preserve">POST-60009</t>
  </si>
  <si>
    <t xml:space="preserve">POST-60010</t>
  </si>
  <si>
    <t xml:space="preserve">POST-60011</t>
  </si>
  <si>
    <t xml:space="preserve">POST-60012</t>
  </si>
  <si>
    <t xml:space="preserve">POST-60013</t>
  </si>
  <si>
    <t xml:space="preserve">POST-60014</t>
  </si>
  <si>
    <t xml:space="preserve">POST-60015</t>
  </si>
  <si>
    <t xml:space="preserve">POST-60016</t>
  </si>
  <si>
    <t xml:space="preserve">POST-60017</t>
  </si>
  <si>
    <t xml:space="preserve">POST-60018</t>
  </si>
  <si>
    <t xml:space="preserve">POST-60019</t>
  </si>
  <si>
    <t xml:space="preserve">POST-60020</t>
  </si>
  <si>
    <t xml:space="preserve">POST-60021</t>
  </si>
  <si>
    <t xml:space="preserve">POST-60022</t>
  </si>
  <si>
    <t xml:space="preserve">POST-60023</t>
  </si>
  <si>
    <t xml:space="preserve">POST-60024</t>
  </si>
  <si>
    <t xml:space="preserve">POST-60025</t>
  </si>
  <si>
    <t xml:space="preserve">POST-60026</t>
  </si>
  <si>
    <t xml:space="preserve">POST-60027</t>
  </si>
  <si>
    <t xml:space="preserve">POST-60028</t>
  </si>
  <si>
    <t xml:space="preserve">POST-60029</t>
  </si>
  <si>
    <t xml:space="preserve">POST-60030</t>
  </si>
  <si>
    <t xml:space="preserve">POST-60031</t>
  </si>
  <si>
    <t xml:space="preserve">POST-60032</t>
  </si>
  <si>
    <t xml:space="preserve">POST-60033</t>
  </si>
  <si>
    <t xml:space="preserve">POST-60034</t>
  </si>
  <si>
    <t xml:space="preserve">POST-60035</t>
  </si>
  <si>
    <t xml:space="preserve">POST-60036</t>
  </si>
  <si>
    <t xml:space="preserve">POST-60037</t>
  </si>
  <si>
    <t xml:space="preserve">POST-60038</t>
  </si>
  <si>
    <t xml:space="preserve">POST-60039</t>
  </si>
  <si>
    <t xml:space="preserve">POST-60040</t>
  </si>
  <si>
    <t xml:space="preserve">POST-60041</t>
  </si>
  <si>
    <t xml:space="preserve">POST-60042</t>
  </si>
  <si>
    <t xml:space="preserve">POST-60043</t>
  </si>
  <si>
    <t xml:space="preserve">POST-60044</t>
  </si>
  <si>
    <t xml:space="preserve">POST-60045</t>
  </si>
  <si>
    <t xml:space="preserve">POST-60046</t>
  </si>
  <si>
    <t xml:space="preserve">POST-60047</t>
  </si>
  <si>
    <t xml:space="preserve">POST-60048</t>
  </si>
  <si>
    <t xml:space="preserve">POST-60049</t>
  </si>
  <si>
    <t xml:space="preserve">POST-60050</t>
  </si>
  <si>
    <t xml:space="preserve">POST-60051</t>
  </si>
  <si>
    <t xml:space="preserve">POST-60052</t>
  </si>
  <si>
    <t xml:space="preserve">POST-60053</t>
  </si>
  <si>
    <t xml:space="preserve">POST-60054</t>
  </si>
  <si>
    <t xml:space="preserve">POST-60055</t>
  </si>
  <si>
    <t xml:space="preserve">POST-60056</t>
  </si>
  <si>
    <t xml:space="preserve">POST-60057</t>
  </si>
  <si>
    <t xml:space="preserve">POST-60058</t>
  </si>
  <si>
    <t xml:space="preserve">POST-60059</t>
  </si>
  <si>
    <t xml:space="preserve">POST-60060</t>
  </si>
  <si>
    <t xml:space="preserve">POST-60061</t>
  </si>
  <si>
    <t xml:space="preserve">POST-60062</t>
  </si>
  <si>
    <t xml:space="preserve">POST-60063</t>
  </si>
  <si>
    <t xml:space="preserve">POST-60064</t>
  </si>
  <si>
    <t xml:space="preserve">POST-60065</t>
  </si>
  <si>
    <t xml:space="preserve">POST-60066</t>
  </si>
  <si>
    <t xml:space="preserve">POST-60067</t>
  </si>
  <si>
    <t xml:space="preserve">POST-60068</t>
  </si>
  <si>
    <t xml:space="preserve">POST-60069</t>
  </si>
  <si>
    <t xml:space="preserve">POST-60070</t>
  </si>
  <si>
    <t xml:space="preserve">POST-60071</t>
  </si>
  <si>
    <t xml:space="preserve">POST-60072</t>
  </si>
  <si>
    <t xml:space="preserve">POST-60073</t>
  </si>
  <si>
    <t xml:space="preserve">POST-60074</t>
  </si>
  <si>
    <t xml:space="preserve">POST-60075</t>
  </si>
  <si>
    <t xml:space="preserve">POST-60076</t>
  </si>
  <si>
    <t xml:space="preserve">POST-60077</t>
  </si>
  <si>
    <t xml:space="preserve">POST-60078</t>
  </si>
  <si>
    <t xml:space="preserve">POST-60079</t>
  </si>
  <si>
    <t xml:space="preserve">POST-60080</t>
  </si>
  <si>
    <t xml:space="preserve">POST-60081</t>
  </si>
  <si>
    <t xml:space="preserve">POST-60082</t>
  </si>
  <si>
    <t xml:space="preserve">POST-60083</t>
  </si>
  <si>
    <t xml:space="preserve">POST-60084</t>
  </si>
  <si>
    <t xml:space="preserve">POST-60085</t>
  </si>
  <si>
    <t xml:space="preserve">POST-60086</t>
  </si>
  <si>
    <t xml:space="preserve">POST-60087</t>
  </si>
  <si>
    <t xml:space="preserve">POST-60088</t>
  </si>
  <si>
    <t xml:space="preserve">POST-60089</t>
  </si>
  <si>
    <t xml:space="preserve">POST-60090</t>
  </si>
  <si>
    <t xml:space="preserve">POST-60091</t>
  </si>
  <si>
    <t xml:space="preserve">POST-60092</t>
  </si>
  <si>
    <t xml:space="preserve">POST-60093</t>
  </si>
  <si>
    <t xml:space="preserve">POST-60094</t>
  </si>
  <si>
    <t xml:space="preserve">POST-60095</t>
  </si>
  <si>
    <t xml:space="preserve">POST-60096</t>
  </si>
  <si>
    <t xml:space="preserve">POST-60097</t>
  </si>
  <si>
    <t xml:space="preserve">POST-60098</t>
  </si>
  <si>
    <t xml:space="preserve">POST-60099</t>
  </si>
  <si>
    <t xml:space="preserve">POST-60100</t>
  </si>
  <si>
    <t xml:space="preserve">POST-60101</t>
  </si>
  <si>
    <t xml:space="preserve">POST-60102</t>
  </si>
  <si>
    <t xml:space="preserve">POST-60103</t>
  </si>
  <si>
    <t xml:space="preserve">POST-60104</t>
  </si>
  <si>
    <t xml:space="preserve">POST-60105</t>
  </si>
  <si>
    <t xml:space="preserve">POST-60106</t>
  </si>
  <si>
    <t xml:space="preserve">POST-60107</t>
  </si>
  <si>
    <t xml:space="preserve">POST-60108</t>
  </si>
  <si>
    <t xml:space="preserve">POST-60109</t>
  </si>
  <si>
    <t xml:space="preserve">POST-60110</t>
  </si>
  <si>
    <t xml:space="preserve">POST-60111</t>
  </si>
  <si>
    <t xml:space="preserve">POST-60112</t>
  </si>
  <si>
    <t xml:space="preserve">POST-60113</t>
  </si>
  <si>
    <t xml:space="preserve">POST-60114</t>
  </si>
  <si>
    <t xml:space="preserve">POST-60115</t>
  </si>
  <si>
    <t xml:space="preserve">POST-60116</t>
  </si>
  <si>
    <t xml:space="preserve">POST-60117</t>
  </si>
  <si>
    <t xml:space="preserve">POST-60118</t>
  </si>
  <si>
    <t xml:space="preserve">POST-60119</t>
  </si>
  <si>
    <t xml:space="preserve">POST-60120</t>
  </si>
  <si>
    <t xml:space="preserve">POST-60121</t>
  </si>
  <si>
    <t xml:space="preserve">POST-60122</t>
  </si>
  <si>
    <t xml:space="preserve">POST-60123</t>
  </si>
  <si>
    <t xml:space="preserve">POST-60124</t>
  </si>
  <si>
    <t xml:space="preserve">POST-60125</t>
  </si>
  <si>
    <t xml:space="preserve">POST-60126</t>
  </si>
  <si>
    <t xml:space="preserve">POST-60127</t>
  </si>
  <si>
    <t xml:space="preserve">POST-60128</t>
  </si>
  <si>
    <t xml:space="preserve">POST-60129</t>
  </si>
  <si>
    <t xml:space="preserve">POST-60130</t>
  </si>
  <si>
    <t xml:space="preserve">POST-60131</t>
  </si>
  <si>
    <t xml:space="preserve">POST-60132</t>
  </si>
  <si>
    <t xml:space="preserve">POST-60133</t>
  </si>
  <si>
    <t xml:space="preserve">POST-60134</t>
  </si>
  <si>
    <t xml:space="preserve">POST-60135</t>
  </si>
  <si>
    <t xml:space="preserve">POST-60136</t>
  </si>
  <si>
    <t xml:space="preserve">POST-60137</t>
  </si>
  <si>
    <t xml:space="preserve">POST-60138</t>
  </si>
  <si>
    <t xml:space="preserve">POST-60139</t>
  </si>
  <si>
    <t xml:space="preserve">POST-60140</t>
  </si>
  <si>
    <t xml:space="preserve">POST-60141</t>
  </si>
  <si>
    <t xml:space="preserve">POST-60142</t>
  </si>
  <si>
    <t xml:space="preserve">POST-60143</t>
  </si>
  <si>
    <t xml:space="preserve">POST-60144</t>
  </si>
  <si>
    <t xml:space="preserve">POST-60145</t>
  </si>
  <si>
    <t xml:space="preserve">POST-60146</t>
  </si>
  <si>
    <t xml:space="preserve">POST-60147</t>
  </si>
  <si>
    <t xml:space="preserve">POST-60148</t>
  </si>
  <si>
    <t xml:space="preserve">POST-60149</t>
  </si>
  <si>
    <t xml:space="preserve">POST-60150</t>
  </si>
  <si>
    <t xml:space="preserve">POST-60151</t>
  </si>
  <si>
    <t xml:space="preserve">POST-60152</t>
  </si>
  <si>
    <t xml:space="preserve">POST-60153</t>
  </si>
  <si>
    <t xml:space="preserve">POST-60154</t>
  </si>
  <si>
    <t xml:space="preserve">POST-60155</t>
  </si>
  <si>
    <t xml:space="preserve">POST-60156</t>
  </si>
  <si>
    <t xml:space="preserve">POST-60157</t>
  </si>
  <si>
    <t xml:space="preserve">POST-60158</t>
  </si>
  <si>
    <t xml:space="preserve">POST-60159</t>
  </si>
  <si>
    <t xml:space="preserve">POST-60160</t>
  </si>
  <si>
    <t xml:space="preserve">POST-60161</t>
  </si>
  <si>
    <t xml:space="preserve">POST-60162</t>
  </si>
  <si>
    <t xml:space="preserve">POST-60163</t>
  </si>
  <si>
    <t xml:space="preserve">POST-60164</t>
  </si>
  <si>
    <t xml:space="preserve">POST-60165</t>
  </si>
  <si>
    <t xml:space="preserve">POST-60166</t>
  </si>
  <si>
    <t xml:space="preserve">POST-60167</t>
  </si>
  <si>
    <t xml:space="preserve">POST-60168</t>
  </si>
  <si>
    <t xml:space="preserve">POST-60169</t>
  </si>
  <si>
    <t xml:space="preserve">POST-60170</t>
  </si>
  <si>
    <t xml:space="preserve">POST-60171</t>
  </si>
  <si>
    <t xml:space="preserve">POST-60172</t>
  </si>
  <si>
    <t xml:space="preserve">POST-60173</t>
  </si>
  <si>
    <t xml:space="preserve">POST-60174</t>
  </si>
  <si>
    <t xml:space="preserve">POST-60175</t>
  </si>
  <si>
    <t xml:space="preserve">POST-60176</t>
  </si>
  <si>
    <t xml:space="preserve">POST-60177</t>
  </si>
  <si>
    <t xml:space="preserve">POST-60178</t>
  </si>
  <si>
    <t xml:space="preserve">POST-60179</t>
  </si>
  <si>
    <t xml:space="preserve">POST-60180</t>
  </si>
  <si>
    <t xml:space="preserve">POST-60181</t>
  </si>
  <si>
    <t xml:space="preserve">POST-60182</t>
  </si>
  <si>
    <t xml:space="preserve">POST-60183</t>
  </si>
  <si>
    <t xml:space="preserve">POST-60184</t>
  </si>
  <si>
    <t xml:space="preserve">POST-60185</t>
  </si>
  <si>
    <t xml:space="preserve">POST-60186</t>
  </si>
  <si>
    <t xml:space="preserve">POST-60187</t>
  </si>
  <si>
    <t xml:space="preserve">POST-60188</t>
  </si>
  <si>
    <t xml:space="preserve">POST-60189</t>
  </si>
  <si>
    <t xml:space="preserve">POST-60190</t>
  </si>
  <si>
    <t xml:space="preserve">POST-60191</t>
  </si>
  <si>
    <t xml:space="preserve">POST-60192</t>
  </si>
  <si>
    <t xml:space="preserve">POST-60193</t>
  </si>
  <si>
    <t xml:space="preserve">POST-60194</t>
  </si>
  <si>
    <t xml:space="preserve">POST-60195</t>
  </si>
  <si>
    <t xml:space="preserve">POST-60196</t>
  </si>
  <si>
    <t xml:space="preserve">POST-60197</t>
  </si>
  <si>
    <t xml:space="preserve">POST-60198</t>
  </si>
  <si>
    <t xml:space="preserve">POST-60199</t>
  </si>
  <si>
    <t xml:space="preserve">POST-60200</t>
  </si>
  <si>
    <t xml:space="preserve">POST-60201</t>
  </si>
  <si>
    <t xml:space="preserve">POST-60202</t>
  </si>
  <si>
    <t xml:space="preserve">POST-60203</t>
  </si>
  <si>
    <t xml:space="preserve">POST-60204</t>
  </si>
  <si>
    <t xml:space="preserve">POST-60205</t>
  </si>
  <si>
    <t xml:space="preserve">POST-60206</t>
  </si>
  <si>
    <t xml:space="preserve">POST-60207</t>
  </si>
  <si>
    <t xml:space="preserve">POST-60208</t>
  </si>
  <si>
    <t xml:space="preserve">POST-60209</t>
  </si>
  <si>
    <t xml:space="preserve">POST-60210</t>
  </si>
  <si>
    <t xml:space="preserve">POST-60211</t>
  </si>
  <si>
    <t xml:space="preserve">POST-60212</t>
  </si>
  <si>
    <t xml:space="preserve">POST-60213</t>
  </si>
  <si>
    <t xml:space="preserve">POST-60214</t>
  </si>
  <si>
    <t xml:space="preserve">POST-60215</t>
  </si>
  <si>
    <t xml:space="preserve">POST-60216</t>
  </si>
  <si>
    <t xml:space="preserve">POST-60217</t>
  </si>
  <si>
    <t xml:space="preserve">POST-60218</t>
  </si>
  <si>
    <t xml:space="preserve">POST-60219</t>
  </si>
  <si>
    <t xml:space="preserve">POST-60220</t>
  </si>
  <si>
    <t xml:space="preserve">POST-60221</t>
  </si>
  <si>
    <t xml:space="preserve">POST-60222</t>
  </si>
  <si>
    <t xml:space="preserve">POST-60223</t>
  </si>
  <si>
    <t xml:space="preserve">POST-60224</t>
  </si>
  <si>
    <t xml:space="preserve">POST-60225</t>
  </si>
  <si>
    <t xml:space="preserve">POST-60226</t>
  </si>
  <si>
    <t xml:space="preserve">POST-60227</t>
  </si>
  <si>
    <t xml:space="preserve">POST-60228</t>
  </si>
  <si>
    <t xml:space="preserve">POST-60229</t>
  </si>
  <si>
    <t xml:space="preserve">POST-60230</t>
  </si>
  <si>
    <t xml:space="preserve">POST-60231</t>
  </si>
  <si>
    <t xml:space="preserve">POST-60232</t>
  </si>
  <si>
    <t xml:space="preserve">POST-60233</t>
  </si>
  <si>
    <t xml:space="preserve">POST-60234</t>
  </si>
  <si>
    <t xml:space="preserve">POST-60235</t>
  </si>
  <si>
    <t xml:space="preserve">POST-60236</t>
  </si>
  <si>
    <t xml:space="preserve">POST-60237</t>
  </si>
  <si>
    <t xml:space="preserve">POST-60238</t>
  </si>
  <si>
    <t xml:space="preserve">POST-60239</t>
  </si>
  <si>
    <t xml:space="preserve">POST-60240</t>
  </si>
  <si>
    <t xml:space="preserve">POST-60241</t>
  </si>
  <si>
    <t xml:space="preserve">POST-60242</t>
  </si>
  <si>
    <t xml:space="preserve">POST-60243</t>
  </si>
  <si>
    <t xml:space="preserve">POST-60244</t>
  </si>
  <si>
    <t xml:space="preserve">POST-60245</t>
  </si>
  <si>
    <t xml:space="preserve">POST-60246</t>
  </si>
  <si>
    <t xml:space="preserve">POST-60247</t>
  </si>
  <si>
    <t xml:space="preserve">POST-60248</t>
  </si>
  <si>
    <t xml:space="preserve">POST-60249</t>
  </si>
  <si>
    <t xml:space="preserve">POST-60250</t>
  </si>
  <si>
    <t xml:space="preserve">POST-60251</t>
  </si>
  <si>
    <t xml:space="preserve">POST-60252</t>
  </si>
  <si>
    <t xml:space="preserve">POST-60253</t>
  </si>
  <si>
    <t xml:space="preserve">POST-60254</t>
  </si>
  <si>
    <t xml:space="preserve">POST-60255</t>
  </si>
  <si>
    <t xml:space="preserve">POST-60256</t>
  </si>
  <si>
    <t xml:space="preserve">POST-60257</t>
  </si>
  <si>
    <t xml:space="preserve">POST-60258</t>
  </si>
  <si>
    <t xml:space="preserve">POST-60259</t>
  </si>
  <si>
    <t xml:space="preserve">POST-60260</t>
  </si>
  <si>
    <t xml:space="preserve">POST-60261</t>
  </si>
  <si>
    <t xml:space="preserve">POST-60262</t>
  </si>
  <si>
    <t xml:space="preserve">POST-60263</t>
  </si>
  <si>
    <t xml:space="preserve">POST-60264</t>
  </si>
  <si>
    <t xml:space="preserve">POST-60265</t>
  </si>
  <si>
    <t xml:space="preserve">POST-60266</t>
  </si>
  <si>
    <t xml:space="preserve">POST-60267</t>
  </si>
  <si>
    <t xml:space="preserve">POST-60268</t>
  </si>
  <si>
    <t xml:space="preserve">POST-60269</t>
  </si>
  <si>
    <t xml:space="preserve">POST-60270</t>
  </si>
  <si>
    <t xml:space="preserve">POST-60271</t>
  </si>
  <si>
    <t xml:space="preserve">POST-60272</t>
  </si>
  <si>
    <t xml:space="preserve">POST-60273</t>
  </si>
  <si>
    <t xml:space="preserve">POST-60274</t>
  </si>
  <si>
    <t xml:space="preserve">POST-60275</t>
  </si>
  <si>
    <t xml:space="preserve">POST-60276</t>
  </si>
  <si>
    <t xml:space="preserve">POST-60277</t>
  </si>
  <si>
    <t xml:space="preserve">POST-60278</t>
  </si>
  <si>
    <t xml:space="preserve">POST-60279</t>
  </si>
  <si>
    <t xml:space="preserve">POST-60280</t>
  </si>
  <si>
    <t xml:space="preserve">POST-60281</t>
  </si>
  <si>
    <t xml:space="preserve">POST-60282</t>
  </si>
  <si>
    <t xml:space="preserve">POST-60283</t>
  </si>
  <si>
    <t xml:space="preserve">POST-60284</t>
  </si>
  <si>
    <t xml:space="preserve">POST-60285</t>
  </si>
  <si>
    <t xml:space="preserve">POST-60286</t>
  </si>
  <si>
    <t xml:space="preserve">POST-60287</t>
  </si>
  <si>
    <t xml:space="preserve">POST-60288</t>
  </si>
  <si>
    <t xml:space="preserve">POST-60289</t>
  </si>
  <si>
    <t xml:space="preserve">POST-60290</t>
  </si>
  <si>
    <t xml:space="preserve">POST-60291</t>
  </si>
  <si>
    <t xml:space="preserve">POST-60292</t>
  </si>
  <si>
    <t xml:space="preserve">POST-60293</t>
  </si>
  <si>
    <t xml:space="preserve">POST-60294</t>
  </si>
  <si>
    <t xml:space="preserve">POST-60295</t>
  </si>
  <si>
    <t xml:space="preserve">POST-60296</t>
  </si>
  <si>
    <t xml:space="preserve">POST-60297</t>
  </si>
  <si>
    <t xml:space="preserve">POST-60298</t>
  </si>
  <si>
    <t xml:space="preserve">POST-60299</t>
  </si>
  <si>
    <t xml:space="preserve">POST-60300</t>
  </si>
  <si>
    <t xml:space="preserve">POST-60301</t>
  </si>
  <si>
    <t xml:space="preserve">POST-60302</t>
  </si>
  <si>
    <t xml:space="preserve">POST-60303</t>
  </si>
  <si>
    <t xml:space="preserve">POST-60304</t>
  </si>
  <si>
    <t xml:space="preserve">POST-60305</t>
  </si>
  <si>
    <t xml:space="preserve">POST-60306</t>
  </si>
  <si>
    <t xml:space="preserve">POST-60307</t>
  </si>
  <si>
    <t xml:space="preserve">POST-60308</t>
  </si>
  <si>
    <t xml:space="preserve">POST-60309</t>
  </si>
  <si>
    <t xml:space="preserve">POST-60310</t>
  </si>
  <si>
    <t xml:space="preserve">POST-60311</t>
  </si>
  <si>
    <t xml:space="preserve">POST-60312</t>
  </si>
  <si>
    <t xml:space="preserve">POST-60313</t>
  </si>
  <si>
    <t xml:space="preserve">POST-60314</t>
  </si>
  <si>
    <t xml:space="preserve">POST-60315</t>
  </si>
  <si>
    <t xml:space="preserve">POST-60316</t>
  </si>
  <si>
    <t xml:space="preserve">POST-60317</t>
  </si>
  <si>
    <t xml:space="preserve">POST-60318</t>
  </si>
  <si>
    <t xml:space="preserve">POST-60319</t>
  </si>
  <si>
    <t xml:space="preserve">POST-60320</t>
  </si>
  <si>
    <t xml:space="preserve">POST-60321</t>
  </si>
  <si>
    <t xml:space="preserve">POST-60322</t>
  </si>
  <si>
    <t xml:space="preserve">POST-60323</t>
  </si>
  <si>
    <t xml:space="preserve">POST-60324</t>
  </si>
  <si>
    <t xml:space="preserve">POST-60325</t>
  </si>
  <si>
    <t xml:space="preserve">POST-60326</t>
  </si>
  <si>
    <t xml:space="preserve">POST-60327</t>
  </si>
  <si>
    <t xml:space="preserve">POST-60328</t>
  </si>
  <si>
    <t xml:space="preserve">POST-60329</t>
  </si>
  <si>
    <t xml:space="preserve">POST-60330</t>
  </si>
  <si>
    <t xml:space="preserve">POST-60331</t>
  </si>
  <si>
    <t xml:space="preserve">POST-60332</t>
  </si>
  <si>
    <t xml:space="preserve">POST-60333</t>
  </si>
  <si>
    <t xml:space="preserve">POST-60334</t>
  </si>
  <si>
    <t xml:space="preserve">POST-60335</t>
  </si>
  <si>
    <t xml:space="preserve">POST-60336</t>
  </si>
  <si>
    <t xml:space="preserve">POST-60337</t>
  </si>
  <si>
    <t xml:space="preserve">POST-60338</t>
  </si>
  <si>
    <t xml:space="preserve">POST-60339</t>
  </si>
  <si>
    <t xml:space="preserve">POST-60340</t>
  </si>
  <si>
    <t xml:space="preserve">POST-60341</t>
  </si>
  <si>
    <t xml:space="preserve">POST-60342</t>
  </si>
  <si>
    <t xml:space="preserve">POST-60343</t>
  </si>
  <si>
    <t xml:space="preserve">POST-60344</t>
  </si>
  <si>
    <t xml:space="preserve">POST-60345</t>
  </si>
  <si>
    <t xml:space="preserve">POST-60346</t>
  </si>
  <si>
    <t xml:space="preserve">POST-60347</t>
  </si>
  <si>
    <t xml:space="preserve">POST-60348</t>
  </si>
  <si>
    <t xml:space="preserve">POST-60349</t>
  </si>
  <si>
    <t xml:space="preserve">POST-60350</t>
  </si>
  <si>
    <t xml:space="preserve">POST-60351</t>
  </si>
  <si>
    <t xml:space="preserve">POST-60352</t>
  </si>
  <si>
    <t xml:space="preserve">POST-60353</t>
  </si>
  <si>
    <t xml:space="preserve">POST-60354</t>
  </si>
  <si>
    <t xml:space="preserve">POST-60355</t>
  </si>
  <si>
    <t xml:space="preserve">POST-60356</t>
  </si>
  <si>
    <t xml:space="preserve">POST-60357</t>
  </si>
  <si>
    <t xml:space="preserve">POST-60358</t>
  </si>
  <si>
    <t xml:space="preserve">POST-60359</t>
  </si>
  <si>
    <t xml:space="preserve">POST-60360</t>
  </si>
  <si>
    <t xml:space="preserve">POST-60361</t>
  </si>
  <si>
    <t xml:space="preserve">POST-60362</t>
  </si>
  <si>
    <t xml:space="preserve">POST-60363</t>
  </si>
  <si>
    <t xml:space="preserve">POST-60364</t>
  </si>
  <si>
    <t xml:space="preserve">POST-60365</t>
  </si>
  <si>
    <t xml:space="preserve">POST-60366</t>
  </si>
  <si>
    <t xml:space="preserve">POST-60367</t>
  </si>
  <si>
    <t xml:space="preserve">POST-60368</t>
  </si>
  <si>
    <t xml:space="preserve">POST-60369</t>
  </si>
  <si>
    <t xml:space="preserve">POST-60370</t>
  </si>
  <si>
    <t xml:space="preserve">POST-60371</t>
  </si>
  <si>
    <t xml:space="preserve">POST-60372</t>
  </si>
  <si>
    <t xml:space="preserve">POST-60373</t>
  </si>
  <si>
    <t xml:space="preserve">POST-60374</t>
  </si>
  <si>
    <t xml:space="preserve">POST-60375</t>
  </si>
  <si>
    <t xml:space="preserve">POST-60376</t>
  </si>
  <si>
    <t xml:space="preserve">POST-60377</t>
  </si>
  <si>
    <t xml:space="preserve">POST-60378</t>
  </si>
  <si>
    <t xml:space="preserve">POST-60379</t>
  </si>
  <si>
    <t xml:space="preserve">POST-60380</t>
  </si>
  <si>
    <t xml:space="preserve">POST-60381</t>
  </si>
  <si>
    <t xml:space="preserve">POST-60382</t>
  </si>
  <si>
    <t xml:space="preserve">POST-60383</t>
  </si>
  <si>
    <t xml:space="preserve">POST-60384</t>
  </si>
  <si>
    <t xml:space="preserve">POST-60385</t>
  </si>
  <si>
    <t xml:space="preserve">POST-60386</t>
  </si>
  <si>
    <t xml:space="preserve">POST-60387</t>
  </si>
  <si>
    <t xml:space="preserve">POST-60388</t>
  </si>
  <si>
    <t xml:space="preserve">POST-60389</t>
  </si>
  <si>
    <t xml:space="preserve">POST-60390</t>
  </si>
  <si>
    <t xml:space="preserve">POST-60391</t>
  </si>
  <si>
    <t xml:space="preserve">POST-60392</t>
  </si>
  <si>
    <t xml:space="preserve">POST-60393</t>
  </si>
  <si>
    <t xml:space="preserve">POST-60394</t>
  </si>
  <si>
    <t xml:space="preserve">POST-60395</t>
  </si>
  <si>
    <t xml:space="preserve">POST-60396</t>
  </si>
  <si>
    <t xml:space="preserve">POST-60397</t>
  </si>
  <si>
    <t xml:space="preserve">POST-60398</t>
  </si>
  <si>
    <t xml:space="preserve">POST-60399</t>
  </si>
  <si>
    <t xml:space="preserve">POST-60400</t>
  </si>
  <si>
    <t xml:space="preserve">POST-60401</t>
  </si>
  <si>
    <t xml:space="preserve">POST-60402</t>
  </si>
  <si>
    <t xml:space="preserve">POST-60403</t>
  </si>
  <si>
    <t xml:space="preserve">POST-60404</t>
  </si>
  <si>
    <t xml:space="preserve">POST-60405</t>
  </si>
  <si>
    <t xml:space="preserve">POST-60406</t>
  </si>
  <si>
    <t xml:space="preserve">POST-60407</t>
  </si>
  <si>
    <t xml:space="preserve">POST-60408</t>
  </si>
  <si>
    <t xml:space="preserve">POST-60409</t>
  </si>
  <si>
    <t xml:space="preserve">POST-60410</t>
  </si>
  <si>
    <t xml:space="preserve">POST-60411</t>
  </si>
  <si>
    <t xml:space="preserve">POST-60412</t>
  </si>
  <si>
    <t xml:space="preserve">POST-60413</t>
  </si>
  <si>
    <t xml:space="preserve">POST-60414</t>
  </si>
  <si>
    <t xml:space="preserve">POST-60415</t>
  </si>
  <si>
    <t xml:space="preserve">POST-60416</t>
  </si>
  <si>
    <t xml:space="preserve">POST-60417</t>
  </si>
  <si>
    <t xml:space="preserve">POST-60418</t>
  </si>
  <si>
    <t xml:space="preserve">POST-60419</t>
  </si>
  <si>
    <t xml:space="preserve">POST-60420</t>
  </si>
  <si>
    <t xml:space="preserve">POST-60421</t>
  </si>
  <si>
    <t xml:space="preserve">POST-60422</t>
  </si>
  <si>
    <t xml:space="preserve">POST-60423</t>
  </si>
  <si>
    <t xml:space="preserve">POST-60424</t>
  </si>
  <si>
    <t xml:space="preserve">POST-60425</t>
  </si>
  <si>
    <t xml:space="preserve">POST-60426</t>
  </si>
  <si>
    <t xml:space="preserve">POST-60427</t>
  </si>
  <si>
    <t xml:space="preserve">POST-60428</t>
  </si>
  <si>
    <t xml:space="preserve">POST-60429</t>
  </si>
  <si>
    <t xml:space="preserve">POST-60430</t>
  </si>
  <si>
    <t xml:space="preserve">POST-60431</t>
  </si>
  <si>
    <t xml:space="preserve">POST-60432</t>
  </si>
  <si>
    <t xml:space="preserve">POST-60433</t>
  </si>
  <si>
    <t xml:space="preserve">POST-60434</t>
  </si>
  <si>
    <t xml:space="preserve">POST-60435</t>
  </si>
  <si>
    <t xml:space="preserve">POST-60436</t>
  </si>
  <si>
    <t xml:space="preserve">POST-60437</t>
  </si>
  <si>
    <t xml:space="preserve">POST-60438</t>
  </si>
  <si>
    <t xml:space="preserve">POST-60439</t>
  </si>
  <si>
    <t xml:space="preserve">POST-60440</t>
  </si>
  <si>
    <t xml:space="preserve">POST-60441</t>
  </si>
  <si>
    <t xml:space="preserve">POST-60442</t>
  </si>
  <si>
    <t xml:space="preserve">POST-60443</t>
  </si>
  <si>
    <t xml:space="preserve">POST-60444</t>
  </si>
  <si>
    <t xml:space="preserve">POST-60445</t>
  </si>
  <si>
    <t xml:space="preserve">POST-60446</t>
  </si>
  <si>
    <t xml:space="preserve">POST-60447</t>
  </si>
  <si>
    <t xml:space="preserve">POST-60448</t>
  </si>
  <si>
    <t xml:space="preserve">POST-60449</t>
  </si>
  <si>
    <t xml:space="preserve">POST-60450</t>
  </si>
  <si>
    <t xml:space="preserve">POST-60451</t>
  </si>
  <si>
    <t xml:space="preserve">POST-60452</t>
  </si>
  <si>
    <t xml:space="preserve">POST-60453</t>
  </si>
  <si>
    <t xml:space="preserve">POST-60454</t>
  </si>
  <si>
    <t xml:space="preserve">POST-60455</t>
  </si>
  <si>
    <t xml:space="preserve">POST-60456</t>
  </si>
  <si>
    <t xml:space="preserve">POST-60457</t>
  </si>
  <si>
    <t xml:space="preserve">POST-60458</t>
  </si>
  <si>
    <t xml:space="preserve">POST-60459</t>
  </si>
  <si>
    <t xml:space="preserve">POST-60460</t>
  </si>
  <si>
    <t xml:space="preserve">POST-60461</t>
  </si>
  <si>
    <t xml:space="preserve">POST-60462</t>
  </si>
  <si>
    <t xml:space="preserve">POST-60463</t>
  </si>
  <si>
    <t xml:space="preserve">POST-60464</t>
  </si>
  <si>
    <t xml:space="preserve">POST-60465</t>
  </si>
  <si>
    <t xml:space="preserve">POST-60466</t>
  </si>
  <si>
    <t xml:space="preserve">POST-60467</t>
  </si>
  <si>
    <t xml:space="preserve">POST-60468</t>
  </si>
  <si>
    <t xml:space="preserve">POST-60469</t>
  </si>
  <si>
    <t xml:space="preserve">POST-60470</t>
  </si>
  <si>
    <t xml:space="preserve">POST-60471</t>
  </si>
  <si>
    <t xml:space="preserve">POST-60472</t>
  </si>
  <si>
    <t xml:space="preserve">POST-60473</t>
  </si>
  <si>
    <t xml:space="preserve">POST-60474</t>
  </si>
  <si>
    <t xml:space="preserve">POST-60475</t>
  </si>
  <si>
    <t xml:space="preserve">POST-60476</t>
  </si>
  <si>
    <t xml:space="preserve">POST-60477</t>
  </si>
  <si>
    <t xml:space="preserve">POST-60478</t>
  </si>
  <si>
    <t xml:space="preserve">POST-60479</t>
  </si>
  <si>
    <t xml:space="preserve">POST-60480</t>
  </si>
  <si>
    <t xml:space="preserve">POST-60481</t>
  </si>
  <si>
    <t xml:space="preserve">POST-60482</t>
  </si>
  <si>
    <t xml:space="preserve">POST-60483</t>
  </si>
  <si>
    <t xml:space="preserve">POST-60484</t>
  </si>
  <si>
    <t xml:space="preserve">POST-60485</t>
  </si>
  <si>
    <t xml:space="preserve">POST-60486</t>
  </si>
  <si>
    <t xml:space="preserve">POST-60487</t>
  </si>
  <si>
    <t xml:space="preserve">POST-60488</t>
  </si>
  <si>
    <t xml:space="preserve">POST-60489</t>
  </si>
  <si>
    <t xml:space="preserve">POST-60490</t>
  </si>
  <si>
    <t xml:space="preserve">POST-60491</t>
  </si>
  <si>
    <t xml:space="preserve">POST-60492</t>
  </si>
  <si>
    <t xml:space="preserve">POST-60493</t>
  </si>
  <si>
    <t xml:space="preserve">POST-60494</t>
  </si>
  <si>
    <t xml:space="preserve">POST-60495</t>
  </si>
  <si>
    <t xml:space="preserve">POST-60496</t>
  </si>
  <si>
    <t xml:space="preserve">POST-60497</t>
  </si>
  <si>
    <t xml:space="preserve">POST-60498</t>
  </si>
  <si>
    <t xml:space="preserve">POST-60499</t>
  </si>
  <si>
    <t xml:space="preserve">POST-60500</t>
  </si>
  <si>
    <t xml:space="preserve">POST-60501</t>
  </si>
  <si>
    <t xml:space="preserve">POST-60502</t>
  </si>
  <si>
    <t xml:space="preserve">POST-60503</t>
  </si>
  <si>
    <t xml:space="preserve">POST-60504</t>
  </si>
  <si>
    <t xml:space="preserve">POST-60505</t>
  </si>
  <si>
    <t xml:space="preserve">POST-60506</t>
  </si>
  <si>
    <t xml:space="preserve">POST-60507</t>
  </si>
  <si>
    <t xml:space="preserve">POST-60508</t>
  </si>
  <si>
    <t xml:space="preserve">POST-60509</t>
  </si>
  <si>
    <t xml:space="preserve">POST-60510</t>
  </si>
  <si>
    <t xml:space="preserve">POST-60511</t>
  </si>
  <si>
    <t xml:space="preserve">POST-60512</t>
  </si>
  <si>
    <t xml:space="preserve">POST-60513</t>
  </si>
  <si>
    <t xml:space="preserve">POST-60514</t>
  </si>
  <si>
    <t xml:space="preserve">POST-60515</t>
  </si>
  <si>
    <t xml:space="preserve">POST-60516</t>
  </si>
  <si>
    <t xml:space="preserve">POST-60517</t>
  </si>
  <si>
    <t xml:space="preserve">POST-60518</t>
  </si>
  <si>
    <t xml:space="preserve">POST-60519</t>
  </si>
  <si>
    <t xml:space="preserve">POST-60520</t>
  </si>
  <si>
    <t xml:space="preserve">POST-60521</t>
  </si>
  <si>
    <t xml:space="preserve">POST-60522</t>
  </si>
  <si>
    <t xml:space="preserve">POST-60523</t>
  </si>
  <si>
    <t xml:space="preserve">POST-60524</t>
  </si>
  <si>
    <t xml:space="preserve">POST-60525</t>
  </si>
  <si>
    <t xml:space="preserve">POST-60526</t>
  </si>
  <si>
    <t xml:space="preserve">POST-60527</t>
  </si>
  <si>
    <t xml:space="preserve">POST-60528</t>
  </si>
  <si>
    <t xml:space="preserve">POST-60529</t>
  </si>
  <si>
    <t xml:space="preserve">POST-60530</t>
  </si>
  <si>
    <t xml:space="preserve">POST-60531</t>
  </si>
  <si>
    <t xml:space="preserve">POST-60532</t>
  </si>
  <si>
    <t xml:space="preserve">POST-60533</t>
  </si>
  <si>
    <t xml:space="preserve">POST-60534</t>
  </si>
  <si>
    <t xml:space="preserve">POST-60535</t>
  </si>
  <si>
    <t xml:space="preserve">POST-60536</t>
  </si>
  <si>
    <t xml:space="preserve">POST-60537</t>
  </si>
  <si>
    <t xml:space="preserve">POST-60538</t>
  </si>
  <si>
    <t xml:space="preserve">POST-60539</t>
  </si>
  <si>
    <t xml:space="preserve">POST-60540</t>
  </si>
  <si>
    <t xml:space="preserve">POST-60541</t>
  </si>
  <si>
    <t xml:space="preserve">POST-60542</t>
  </si>
  <si>
    <t xml:space="preserve">POST-60543</t>
  </si>
  <si>
    <t xml:space="preserve">POST-60544</t>
  </si>
  <si>
    <t xml:space="preserve">POST-60545</t>
  </si>
  <si>
    <t xml:space="preserve">POST-60546</t>
  </si>
  <si>
    <t xml:space="preserve">POST-60547</t>
  </si>
  <si>
    <t xml:space="preserve">POST-60548</t>
  </si>
  <si>
    <t xml:space="preserve">POST-60549</t>
  </si>
  <si>
    <t xml:space="preserve">POST-60550</t>
  </si>
  <si>
    <t xml:space="preserve">POST-60551</t>
  </si>
  <si>
    <t xml:space="preserve">POST-60552</t>
  </si>
  <si>
    <t xml:space="preserve">POST-60553</t>
  </si>
  <si>
    <t xml:space="preserve">POST-60554</t>
  </si>
  <si>
    <t xml:space="preserve">POST-60555</t>
  </si>
  <si>
    <t xml:space="preserve">POST-60556</t>
  </si>
  <si>
    <t xml:space="preserve">POST-60557</t>
  </si>
  <si>
    <t xml:space="preserve">POST-60558</t>
  </si>
  <si>
    <t xml:space="preserve">POST-60559</t>
  </si>
  <si>
    <t xml:space="preserve">POST-60560</t>
  </si>
  <si>
    <t xml:space="preserve">POST-60561</t>
  </si>
  <si>
    <t xml:space="preserve">POST-60562</t>
  </si>
  <si>
    <t xml:space="preserve">POST-60563</t>
  </si>
  <si>
    <t xml:space="preserve">POST-60564</t>
  </si>
  <si>
    <t xml:space="preserve">POST-60565</t>
  </si>
  <si>
    <t xml:space="preserve">POST-60566</t>
  </si>
  <si>
    <t xml:space="preserve">POST-60567</t>
  </si>
  <si>
    <t xml:space="preserve">POST-60568</t>
  </si>
  <si>
    <t xml:space="preserve">POST-60569</t>
  </si>
  <si>
    <t xml:space="preserve">POST-60570</t>
  </si>
  <si>
    <t xml:space="preserve">POST-60571</t>
  </si>
  <si>
    <t xml:space="preserve">POST-60572</t>
  </si>
  <si>
    <t xml:space="preserve">POST-60573</t>
  </si>
  <si>
    <t xml:space="preserve">POST-60574</t>
  </si>
  <si>
    <t xml:space="preserve">POST-60575</t>
  </si>
  <si>
    <t xml:space="preserve">POST-60576</t>
  </si>
  <si>
    <t xml:space="preserve">POST-60577</t>
  </si>
  <si>
    <t xml:space="preserve">POST-60578</t>
  </si>
  <si>
    <t xml:space="preserve">POST-60579</t>
  </si>
  <si>
    <t xml:space="preserve">POST-60580</t>
  </si>
  <si>
    <t xml:space="preserve">POST-60581</t>
  </si>
  <si>
    <t xml:space="preserve">POST-60582</t>
  </si>
  <si>
    <t xml:space="preserve">POST-60583</t>
  </si>
  <si>
    <t xml:space="preserve">POST-60584</t>
  </si>
  <si>
    <t xml:space="preserve">POST-60585</t>
  </si>
  <si>
    <t xml:space="preserve">POST-60586</t>
  </si>
  <si>
    <t xml:space="preserve">POST-60587</t>
  </si>
  <si>
    <t xml:space="preserve">POST-60588</t>
  </si>
  <si>
    <t xml:space="preserve">POST-60589</t>
  </si>
  <si>
    <t xml:space="preserve">POST-60590</t>
  </si>
  <si>
    <t xml:space="preserve">POST-60591</t>
  </si>
  <si>
    <t xml:space="preserve">POST-60592</t>
  </si>
  <si>
    <t xml:space="preserve">POST-60593</t>
  </si>
  <si>
    <t xml:space="preserve">POST-60594</t>
  </si>
  <si>
    <t xml:space="preserve">POST-60595</t>
  </si>
  <si>
    <t xml:space="preserve">POST-60596</t>
  </si>
  <si>
    <t xml:space="preserve">POST-60597</t>
  </si>
  <si>
    <t xml:space="preserve">POST-60598</t>
  </si>
  <si>
    <t xml:space="preserve">POST-60599</t>
  </si>
  <si>
    <t xml:space="preserve">POST-60600</t>
  </si>
  <si>
    <t xml:space="preserve">POST-60601</t>
  </si>
  <si>
    <t xml:space="preserve">POST-60602</t>
  </si>
  <si>
    <t xml:space="preserve">POST-60603</t>
  </si>
  <si>
    <t xml:space="preserve">POST-60604</t>
  </si>
  <si>
    <t xml:space="preserve">POST-60605</t>
  </si>
  <si>
    <t xml:space="preserve">POST-60606</t>
  </si>
  <si>
    <t xml:space="preserve">POST-60607</t>
  </si>
  <si>
    <t xml:space="preserve">POST-60608</t>
  </si>
  <si>
    <t xml:space="preserve">POST-60609</t>
  </si>
  <si>
    <t xml:space="preserve">POST-60610</t>
  </si>
  <si>
    <t xml:space="preserve">POST-60611</t>
  </si>
  <si>
    <t xml:space="preserve">POST-60612</t>
  </si>
  <si>
    <t xml:space="preserve">POST-60613</t>
  </si>
  <si>
    <t xml:space="preserve">POST-60614</t>
  </si>
  <si>
    <t xml:space="preserve">POST-60615</t>
  </si>
  <si>
    <t xml:space="preserve">POST-60616</t>
  </si>
  <si>
    <t xml:space="preserve">POST-60617</t>
  </si>
  <si>
    <t xml:space="preserve">POST-60618</t>
  </si>
  <si>
    <t xml:space="preserve">POST-60619</t>
  </si>
  <si>
    <t xml:space="preserve">POST-60620</t>
  </si>
  <si>
    <t xml:space="preserve">POST-60621</t>
  </si>
  <si>
    <t xml:space="preserve">POST-60622</t>
  </si>
  <si>
    <t xml:space="preserve">POST-60623</t>
  </si>
  <si>
    <t xml:space="preserve">POST-60624</t>
  </si>
  <si>
    <t xml:space="preserve">POST-60625</t>
  </si>
  <si>
    <t xml:space="preserve">POST-60626</t>
  </si>
  <si>
    <t xml:space="preserve">POST-60627</t>
  </si>
  <si>
    <t xml:space="preserve">POST-60628</t>
  </si>
  <si>
    <t xml:space="preserve">POST-60629</t>
  </si>
  <si>
    <t xml:space="preserve">POST-60630</t>
  </si>
  <si>
    <t xml:space="preserve">POST-60631</t>
  </si>
  <si>
    <t xml:space="preserve">POST-60632</t>
  </si>
  <si>
    <t xml:space="preserve">POST-60633</t>
  </si>
  <si>
    <t xml:space="preserve">POST-60634</t>
  </si>
  <si>
    <t xml:space="preserve">POST-60635</t>
  </si>
  <si>
    <t xml:space="preserve">POST-60636</t>
  </si>
  <si>
    <t xml:space="preserve">POST-60637</t>
  </si>
  <si>
    <t xml:space="preserve">POST-60638</t>
  </si>
  <si>
    <t xml:space="preserve">POST-60639</t>
  </si>
  <si>
    <t xml:space="preserve">POST-60640</t>
  </si>
  <si>
    <t xml:space="preserve">POST-60641</t>
  </si>
  <si>
    <t xml:space="preserve">POST-60642</t>
  </si>
  <si>
    <t xml:space="preserve">POST-60643</t>
  </si>
  <si>
    <t xml:space="preserve">POST-60644</t>
  </si>
  <si>
    <t xml:space="preserve">POST-60645</t>
  </si>
  <si>
    <t xml:space="preserve">POST-60646</t>
  </si>
  <si>
    <t xml:space="preserve">POST-60647</t>
  </si>
  <si>
    <t xml:space="preserve">POST-60648</t>
  </si>
  <si>
    <t xml:space="preserve">POST-60649</t>
  </si>
  <si>
    <t xml:space="preserve">POST-60650</t>
  </si>
  <si>
    <t xml:space="preserve">POST-60651</t>
  </si>
  <si>
    <t xml:space="preserve">POST-60652</t>
  </si>
  <si>
    <t xml:space="preserve">POST-60653</t>
  </si>
  <si>
    <t xml:space="preserve">POST-60654</t>
  </si>
  <si>
    <t xml:space="preserve">POST-60655</t>
  </si>
  <si>
    <t xml:space="preserve">POST-60656</t>
  </si>
  <si>
    <t xml:space="preserve">POST-60657</t>
  </si>
  <si>
    <t xml:space="preserve">POST-60658</t>
  </si>
  <si>
    <t xml:space="preserve">POST-60659</t>
  </si>
  <si>
    <t xml:space="preserve">POST-60660</t>
  </si>
  <si>
    <t xml:space="preserve">POST-60661</t>
  </si>
  <si>
    <t xml:space="preserve">POST-60662</t>
  </si>
  <si>
    <t xml:space="preserve">POST-60663</t>
  </si>
  <si>
    <t xml:space="preserve">POST-60664</t>
  </si>
  <si>
    <t xml:space="preserve">POST-60665</t>
  </si>
  <si>
    <t xml:space="preserve">POST-60666</t>
  </si>
  <si>
    <t xml:space="preserve">POST-60667</t>
  </si>
  <si>
    <t xml:space="preserve">POST-60668</t>
  </si>
  <si>
    <t xml:space="preserve">POST-60669</t>
  </si>
  <si>
    <t xml:space="preserve">POST-60670</t>
  </si>
  <si>
    <t xml:space="preserve">POST-60671</t>
  </si>
  <si>
    <t xml:space="preserve">POST-60672</t>
  </si>
  <si>
    <t xml:space="preserve">POST-60673</t>
  </si>
  <si>
    <t xml:space="preserve">POST-60674</t>
  </si>
  <si>
    <t xml:space="preserve">POST-60675</t>
  </si>
  <si>
    <t xml:space="preserve">POST-60676</t>
  </si>
  <si>
    <t xml:space="preserve">POST-60677</t>
  </si>
  <si>
    <t xml:space="preserve">POST-60678</t>
  </si>
  <si>
    <t xml:space="preserve">POST-60679</t>
  </si>
  <si>
    <t xml:space="preserve">POST-60680</t>
  </si>
  <si>
    <t xml:space="preserve">POST-60681</t>
  </si>
  <si>
    <t xml:space="preserve">POST-60682</t>
  </si>
  <si>
    <t xml:space="preserve">POST-60683</t>
  </si>
  <si>
    <t xml:space="preserve">POST-60684</t>
  </si>
  <si>
    <t xml:space="preserve">POST-60685</t>
  </si>
  <si>
    <t xml:space="preserve">POST-60686</t>
  </si>
  <si>
    <t xml:space="preserve">POST-60687</t>
  </si>
  <si>
    <t xml:space="preserve">POST-60688</t>
  </si>
  <si>
    <t xml:space="preserve">POST-60689</t>
  </si>
  <si>
    <t xml:space="preserve">POST-60690</t>
  </si>
  <si>
    <t xml:space="preserve">POST-60691</t>
  </si>
  <si>
    <t xml:space="preserve">POST-60692</t>
  </si>
  <si>
    <t xml:space="preserve">POST-60693</t>
  </si>
  <si>
    <t xml:space="preserve">POST-60694</t>
  </si>
  <si>
    <t xml:space="preserve">POST-60695</t>
  </si>
  <si>
    <t xml:space="preserve">POST-60696</t>
  </si>
  <si>
    <t xml:space="preserve">POST-60697</t>
  </si>
  <si>
    <t xml:space="preserve">POST-60698</t>
  </si>
  <si>
    <t xml:space="preserve">POST-60699</t>
  </si>
  <si>
    <t xml:space="preserve">POST-60700</t>
  </si>
  <si>
    <t xml:space="preserve">POST-60701</t>
  </si>
  <si>
    <t xml:space="preserve">POST-60702</t>
  </si>
  <si>
    <t xml:space="preserve">POST-60703</t>
  </si>
  <si>
    <t xml:space="preserve">POST-60704</t>
  </si>
  <si>
    <t xml:space="preserve">POST-60705</t>
  </si>
  <si>
    <t xml:space="preserve">POST-60706</t>
  </si>
  <si>
    <t xml:space="preserve">POST-60707</t>
  </si>
  <si>
    <t xml:space="preserve">POST-60708</t>
  </si>
  <si>
    <t xml:space="preserve">POST-60709</t>
  </si>
  <si>
    <t xml:space="preserve">POST-60710</t>
  </si>
  <si>
    <t xml:space="preserve">POST-60711</t>
  </si>
  <si>
    <t xml:space="preserve">POST-60712</t>
  </si>
  <si>
    <t xml:space="preserve">POST-60713</t>
  </si>
  <si>
    <t xml:space="preserve">POST-60714</t>
  </si>
  <si>
    <t xml:space="preserve">POST-60715</t>
  </si>
  <si>
    <t xml:space="preserve">POST-60716</t>
  </si>
  <si>
    <t xml:space="preserve">POST-60717</t>
  </si>
  <si>
    <t xml:space="preserve">POST-60718</t>
  </si>
  <si>
    <t xml:space="preserve">POST-60719</t>
  </si>
  <si>
    <t xml:space="preserve">POST-60720</t>
  </si>
  <si>
    <t xml:space="preserve">POST-60721</t>
  </si>
  <si>
    <t xml:space="preserve">POST-60722</t>
  </si>
  <si>
    <t xml:space="preserve">POST-60723</t>
  </si>
  <si>
    <t xml:space="preserve">POST-60724</t>
  </si>
  <si>
    <t xml:space="preserve">POST-60725</t>
  </si>
  <si>
    <t xml:space="preserve">POST-60726</t>
  </si>
  <si>
    <t xml:space="preserve">POST-60727</t>
  </si>
  <si>
    <t xml:space="preserve">POST-60728</t>
  </si>
  <si>
    <t xml:space="preserve">POST-60729</t>
  </si>
  <si>
    <t xml:space="preserve">POST-60730</t>
  </si>
  <si>
    <t xml:space="preserve">POST-60731</t>
  </si>
  <si>
    <t xml:space="preserve">POST-60732</t>
  </si>
  <si>
    <t xml:space="preserve">POST-60733</t>
  </si>
  <si>
    <t xml:space="preserve">POST-60734</t>
  </si>
  <si>
    <t xml:space="preserve">POST-60735</t>
  </si>
  <si>
    <t xml:space="preserve">POST-60736</t>
  </si>
  <si>
    <t xml:space="preserve">POST-60737</t>
  </si>
  <si>
    <t xml:space="preserve">POST-60738</t>
  </si>
  <si>
    <t xml:space="preserve">POST-60739</t>
  </si>
  <si>
    <t xml:space="preserve">POST-60740</t>
  </si>
  <si>
    <t xml:space="preserve">POST-60741</t>
  </si>
  <si>
    <t xml:space="preserve">POST-60742</t>
  </si>
  <si>
    <t xml:space="preserve">POST-60743</t>
  </si>
  <si>
    <t xml:space="preserve">POST-60744</t>
  </si>
  <si>
    <t xml:space="preserve">POST-60745</t>
  </si>
  <si>
    <t xml:space="preserve">POST-60746</t>
  </si>
  <si>
    <t xml:space="preserve">POST-60747</t>
  </si>
  <si>
    <t xml:space="preserve">POST-60748</t>
  </si>
  <si>
    <t xml:space="preserve">POST-60749</t>
  </si>
  <si>
    <t xml:space="preserve">POST-60750</t>
  </si>
  <si>
    <t xml:space="preserve">POST-60751</t>
  </si>
  <si>
    <t xml:space="preserve">POST-60752</t>
  </si>
  <si>
    <t xml:space="preserve">POST-60753</t>
  </si>
  <si>
    <t xml:space="preserve">POST-60754</t>
  </si>
  <si>
    <t xml:space="preserve">POST-60755</t>
  </si>
  <si>
    <t xml:space="preserve">POST-60756</t>
  </si>
  <si>
    <t xml:space="preserve">POST-60757</t>
  </si>
  <si>
    <t xml:space="preserve">POST-60758</t>
  </si>
  <si>
    <t xml:space="preserve">POST-60759</t>
  </si>
  <si>
    <t xml:space="preserve">POST-60760</t>
  </si>
  <si>
    <t xml:space="preserve">POST-60761</t>
  </si>
  <si>
    <t xml:space="preserve">POST-60762</t>
  </si>
  <si>
    <t xml:space="preserve">POST-60763</t>
  </si>
  <si>
    <t xml:space="preserve">POST-60764</t>
  </si>
  <si>
    <t xml:space="preserve">POST-60765</t>
  </si>
  <si>
    <t xml:space="preserve">POST-60766</t>
  </si>
  <si>
    <t xml:space="preserve">POST-60767</t>
  </si>
  <si>
    <t xml:space="preserve">POST-60768</t>
  </si>
  <si>
    <t xml:space="preserve">POST-60769</t>
  </si>
  <si>
    <t xml:space="preserve">POST-60770</t>
  </si>
  <si>
    <t xml:space="preserve">POST-60771</t>
  </si>
  <si>
    <t xml:space="preserve">POST-60772</t>
  </si>
  <si>
    <t xml:space="preserve">POST-60773</t>
  </si>
  <si>
    <t xml:space="preserve">POST-60774</t>
  </si>
  <si>
    <t xml:space="preserve">POST-60775</t>
  </si>
  <si>
    <t xml:space="preserve">POST-60776</t>
  </si>
  <si>
    <t xml:space="preserve">POST-60777</t>
  </si>
  <si>
    <t xml:space="preserve">POST-60778</t>
  </si>
  <si>
    <t xml:space="preserve">POST-60779</t>
  </si>
  <si>
    <t xml:space="preserve">POST-60780</t>
  </si>
  <si>
    <t xml:space="preserve">POST-60781</t>
  </si>
  <si>
    <t xml:space="preserve">POST-60782</t>
  </si>
  <si>
    <t xml:space="preserve">POST-60783</t>
  </si>
  <si>
    <t xml:space="preserve">POST-60784</t>
  </si>
  <si>
    <t xml:space="preserve">POST-60785</t>
  </si>
  <si>
    <t xml:space="preserve">POST-60786</t>
  </si>
  <si>
    <t xml:space="preserve">POST-60787</t>
  </si>
  <si>
    <t xml:space="preserve">POST-60788</t>
  </si>
  <si>
    <t xml:space="preserve">POST-60789</t>
  </si>
  <si>
    <t xml:space="preserve">POST-60790</t>
  </si>
  <si>
    <t xml:space="preserve">POST-60791</t>
  </si>
  <si>
    <t xml:space="preserve">POST-60792</t>
  </si>
  <si>
    <t xml:space="preserve">POST-60793</t>
  </si>
  <si>
    <t xml:space="preserve">POST-60794</t>
  </si>
  <si>
    <t xml:space="preserve">POST-60795</t>
  </si>
  <si>
    <t xml:space="preserve">POST-60796</t>
  </si>
  <si>
    <t xml:space="preserve">POST-60797</t>
  </si>
  <si>
    <t xml:space="preserve">POST-60798</t>
  </si>
  <si>
    <t xml:space="preserve">POST-60799</t>
  </si>
  <si>
    <t xml:space="preserve">POST-60800</t>
  </si>
  <si>
    <t xml:space="preserve">POST-60801</t>
  </si>
  <si>
    <t xml:space="preserve">POST-60802</t>
  </si>
  <si>
    <t xml:space="preserve">POST-60803</t>
  </si>
  <si>
    <t xml:space="preserve">POST-60804</t>
  </si>
  <si>
    <t xml:space="preserve">POST-60805</t>
  </si>
  <si>
    <t xml:space="preserve">POST-60806</t>
  </si>
  <si>
    <t xml:space="preserve">POST-60807</t>
  </si>
  <si>
    <t xml:space="preserve">POST-60808</t>
  </si>
  <si>
    <t xml:space="preserve">POST-60809</t>
  </si>
  <si>
    <t xml:space="preserve">POST-60810</t>
  </si>
  <si>
    <t xml:space="preserve">POST-60811</t>
  </si>
  <si>
    <t xml:space="preserve">POST-60812</t>
  </si>
  <si>
    <t xml:space="preserve">POST-60813</t>
  </si>
  <si>
    <t xml:space="preserve">POST-60814</t>
  </si>
  <si>
    <t xml:space="preserve">POST-60815</t>
  </si>
  <si>
    <t xml:space="preserve">POST-60816</t>
  </si>
  <si>
    <t xml:space="preserve">POST-60817</t>
  </si>
  <si>
    <t xml:space="preserve">POST-60818</t>
  </si>
  <si>
    <t xml:space="preserve">POST-60819</t>
  </si>
  <si>
    <t xml:space="preserve">POST-60820</t>
  </si>
  <si>
    <t xml:space="preserve">POST-60821</t>
  </si>
  <si>
    <t xml:space="preserve">POST-60822</t>
  </si>
  <si>
    <t xml:space="preserve">POST-60823</t>
  </si>
  <si>
    <t xml:space="preserve">POST-60824</t>
  </si>
  <si>
    <t xml:space="preserve">POST-60825</t>
  </si>
  <si>
    <t xml:space="preserve">POST-60826</t>
  </si>
  <si>
    <t xml:space="preserve">POST-60827</t>
  </si>
  <si>
    <t xml:space="preserve">POST-60828</t>
  </si>
  <si>
    <t xml:space="preserve">POST-60829</t>
  </si>
  <si>
    <t xml:space="preserve">POST-60830</t>
  </si>
  <si>
    <t xml:space="preserve">POST-60831</t>
  </si>
  <si>
    <t xml:space="preserve">POST-60832</t>
  </si>
  <si>
    <t xml:space="preserve">POST-60833</t>
  </si>
  <si>
    <t xml:space="preserve">POST-60834</t>
  </si>
  <si>
    <t xml:space="preserve">POST-60835</t>
  </si>
  <si>
    <t xml:space="preserve">POST-60836</t>
  </si>
  <si>
    <t xml:space="preserve">POST-60837</t>
  </si>
  <si>
    <t xml:space="preserve">POST-60838</t>
  </si>
  <si>
    <t xml:space="preserve">POST-60839</t>
  </si>
  <si>
    <t xml:space="preserve">POST-60840</t>
  </si>
  <si>
    <t xml:space="preserve">POST-60841</t>
  </si>
  <si>
    <t xml:space="preserve">POST-60842</t>
  </si>
  <si>
    <t xml:space="preserve">POST-60843</t>
  </si>
  <si>
    <t xml:space="preserve">POST-60844</t>
  </si>
  <si>
    <t xml:space="preserve">POST-60845</t>
  </si>
  <si>
    <t xml:space="preserve">POST-60846</t>
  </si>
  <si>
    <t xml:space="preserve">POST-60847</t>
  </si>
  <si>
    <t xml:space="preserve">POST-60848</t>
  </si>
  <si>
    <t xml:space="preserve">POST-60849</t>
  </si>
  <si>
    <t xml:space="preserve">POST-60850</t>
  </si>
  <si>
    <t xml:space="preserve">POST-60851</t>
  </si>
  <si>
    <t xml:space="preserve">POST-60852</t>
  </si>
  <si>
    <t xml:space="preserve">POST-60853</t>
  </si>
  <si>
    <t xml:space="preserve">POST-60854</t>
  </si>
  <si>
    <t xml:space="preserve">POST-60855</t>
  </si>
  <si>
    <t xml:space="preserve">POST-60856</t>
  </si>
  <si>
    <t xml:space="preserve">POST-60857</t>
  </si>
  <si>
    <t xml:space="preserve">POST-60858</t>
  </si>
  <si>
    <t xml:space="preserve">POST-60859</t>
  </si>
  <si>
    <t xml:space="preserve">POST-60860</t>
  </si>
  <si>
    <t xml:space="preserve">POST-60861</t>
  </si>
  <si>
    <t xml:space="preserve">POST-60862</t>
  </si>
  <si>
    <t xml:space="preserve">POST-60863</t>
  </si>
  <si>
    <t xml:space="preserve">POST-60864</t>
  </si>
  <si>
    <t xml:space="preserve">POST-60865</t>
  </si>
  <si>
    <t xml:space="preserve">POST-60866</t>
  </si>
  <si>
    <t xml:space="preserve">POST-60867</t>
  </si>
  <si>
    <t xml:space="preserve">POST-60868</t>
  </si>
  <si>
    <t xml:space="preserve">POST-60869</t>
  </si>
  <si>
    <t xml:space="preserve">POST-60870</t>
  </si>
  <si>
    <t xml:space="preserve">POST-60871</t>
  </si>
  <si>
    <t xml:space="preserve">POST-60872</t>
  </si>
  <si>
    <t xml:space="preserve">POST-60873</t>
  </si>
  <si>
    <t xml:space="preserve">POST-60874</t>
  </si>
  <si>
    <t xml:space="preserve">POST-60875</t>
  </si>
  <si>
    <t xml:space="preserve">POST-60876</t>
  </si>
  <si>
    <t xml:space="preserve">POST-60877</t>
  </si>
  <si>
    <t xml:space="preserve">POST-60878</t>
  </si>
  <si>
    <t xml:space="preserve">POST-60879</t>
  </si>
  <si>
    <t xml:space="preserve">POST-60880</t>
  </si>
  <si>
    <t xml:space="preserve">POST-60881</t>
  </si>
  <si>
    <t xml:space="preserve">POST-60882</t>
  </si>
  <si>
    <t xml:space="preserve">POST-60883</t>
  </si>
  <si>
    <t xml:space="preserve">POST-60884</t>
  </si>
  <si>
    <t xml:space="preserve">POST-60885</t>
  </si>
  <si>
    <t xml:space="preserve">POST-60886</t>
  </si>
  <si>
    <t xml:space="preserve">POST-60887</t>
  </si>
  <si>
    <t xml:space="preserve">POST-60888</t>
  </si>
  <si>
    <t xml:space="preserve">POST-60889</t>
  </si>
  <si>
    <t xml:space="preserve">POST-60890</t>
  </si>
  <si>
    <t xml:space="preserve">POST-60891</t>
  </si>
  <si>
    <t xml:space="preserve">POST-60892</t>
  </si>
  <si>
    <t xml:space="preserve">POST-60893</t>
  </si>
  <si>
    <t xml:space="preserve">POST-60894</t>
  </si>
  <si>
    <t xml:space="preserve">POST-60895</t>
  </si>
  <si>
    <t xml:space="preserve">POST-60896</t>
  </si>
  <si>
    <t xml:space="preserve">POST-60897</t>
  </si>
  <si>
    <t xml:space="preserve">POST-60898</t>
  </si>
  <si>
    <t xml:space="preserve">POST-60899</t>
  </si>
  <si>
    <t xml:space="preserve">POST-60900</t>
  </si>
  <si>
    <t xml:space="preserve">POST-60901</t>
  </si>
  <si>
    <t xml:space="preserve">POST-60902</t>
  </si>
  <si>
    <t xml:space="preserve">POST-60903</t>
  </si>
  <si>
    <t xml:space="preserve">POST-60904</t>
  </si>
  <si>
    <t xml:space="preserve">POST-60905</t>
  </si>
  <si>
    <t xml:space="preserve">POST-60906</t>
  </si>
  <si>
    <t xml:space="preserve">POST-60907</t>
  </si>
  <si>
    <t xml:space="preserve">POST-60908</t>
  </si>
  <si>
    <t xml:space="preserve">POST-60909</t>
  </si>
  <si>
    <t xml:space="preserve">POST-60910</t>
  </si>
  <si>
    <t xml:space="preserve">POST-60911</t>
  </si>
  <si>
    <t xml:space="preserve">POST-60912</t>
  </si>
  <si>
    <t xml:space="preserve">POST-60913</t>
  </si>
  <si>
    <t xml:space="preserve">POST-60914</t>
  </si>
  <si>
    <t xml:space="preserve">POST-60915</t>
  </si>
  <si>
    <t xml:space="preserve">POST-60916</t>
  </si>
  <si>
    <t xml:space="preserve">POST-60917</t>
  </si>
  <si>
    <t xml:space="preserve">POST-60918</t>
  </si>
  <si>
    <t xml:space="preserve">POST-60919</t>
  </si>
  <si>
    <t xml:space="preserve">POST-60920</t>
  </si>
  <si>
    <t xml:space="preserve">POST-60921</t>
  </si>
  <si>
    <t xml:space="preserve">POST-60922</t>
  </si>
  <si>
    <t xml:space="preserve">POST-60923</t>
  </si>
  <si>
    <t xml:space="preserve">POST-60924</t>
  </si>
  <si>
    <t xml:space="preserve">POST-60925</t>
  </si>
  <si>
    <t xml:space="preserve">POST-60926</t>
  </si>
  <si>
    <t xml:space="preserve">POST-60927</t>
  </si>
  <si>
    <t xml:space="preserve">POST-60928</t>
  </si>
  <si>
    <t xml:space="preserve">POST-60929</t>
  </si>
  <si>
    <t xml:space="preserve">POST-60930</t>
  </si>
  <si>
    <t xml:space="preserve">POST-60931</t>
  </si>
  <si>
    <t xml:space="preserve">POST-60932</t>
  </si>
  <si>
    <t xml:space="preserve">POST-60933</t>
  </si>
  <si>
    <t xml:space="preserve">POST-60934</t>
  </si>
  <si>
    <t xml:space="preserve">POST-60935</t>
  </si>
  <si>
    <t xml:space="preserve">POST-60936</t>
  </si>
  <si>
    <t xml:space="preserve">POST-60937</t>
  </si>
  <si>
    <t xml:space="preserve">POST-60938</t>
  </si>
  <si>
    <t xml:space="preserve">POST-60939</t>
  </si>
  <si>
    <t xml:space="preserve">POST-60940</t>
  </si>
  <si>
    <t xml:space="preserve">POST-60941</t>
  </si>
  <si>
    <t xml:space="preserve">POST-60942</t>
  </si>
  <si>
    <t xml:space="preserve">POST-60943</t>
  </si>
  <si>
    <t xml:space="preserve">POST-60944</t>
  </si>
  <si>
    <t xml:space="preserve">POST-60945</t>
  </si>
  <si>
    <t xml:space="preserve">POST-60946</t>
  </si>
  <si>
    <t xml:space="preserve">POST-60947</t>
  </si>
  <si>
    <t xml:space="preserve">POST-60948</t>
  </si>
  <si>
    <t xml:space="preserve">POST-60949</t>
  </si>
  <si>
    <t xml:space="preserve">POST-60950</t>
  </si>
  <si>
    <t xml:space="preserve">POST-60951</t>
  </si>
  <si>
    <t xml:space="preserve">POST-60952</t>
  </si>
  <si>
    <t xml:space="preserve">POST-60953</t>
  </si>
  <si>
    <t xml:space="preserve">POST-60954</t>
  </si>
  <si>
    <t xml:space="preserve">POST-60955</t>
  </si>
  <si>
    <t xml:space="preserve">POST-60956</t>
  </si>
  <si>
    <t xml:space="preserve">POST-60957</t>
  </si>
  <si>
    <t xml:space="preserve">POST-60958</t>
  </si>
  <si>
    <t xml:space="preserve">POST-60959</t>
  </si>
  <si>
    <t xml:space="preserve">POST-60960</t>
  </si>
  <si>
    <t xml:space="preserve">POST-60961</t>
  </si>
  <si>
    <t xml:space="preserve">POST-60962</t>
  </si>
  <si>
    <t xml:space="preserve">POST-60963</t>
  </si>
  <si>
    <t xml:space="preserve">POST-60964</t>
  </si>
  <si>
    <t xml:space="preserve">POST-60965</t>
  </si>
  <si>
    <t xml:space="preserve">POST-60966</t>
  </si>
  <si>
    <t xml:space="preserve">POST-60967</t>
  </si>
  <si>
    <t xml:space="preserve">POST-60968</t>
  </si>
  <si>
    <t xml:space="preserve">POST-60969</t>
  </si>
  <si>
    <t xml:space="preserve">POST-60970</t>
  </si>
  <si>
    <t xml:space="preserve">POST-60971</t>
  </si>
  <si>
    <t xml:space="preserve">POST-60972</t>
  </si>
  <si>
    <t xml:space="preserve">POST-60973</t>
  </si>
  <si>
    <t xml:space="preserve">POST-60974</t>
  </si>
  <si>
    <t xml:space="preserve">POST-60975</t>
  </si>
  <si>
    <t xml:space="preserve">POST-60976</t>
  </si>
  <si>
    <t xml:space="preserve">POST-60977</t>
  </si>
  <si>
    <t xml:space="preserve">POST-60978</t>
  </si>
  <si>
    <t xml:space="preserve">POST-60979</t>
  </si>
  <si>
    <t xml:space="preserve">POST-60980</t>
  </si>
  <si>
    <t xml:space="preserve">POST-60981</t>
  </si>
  <si>
    <t xml:space="preserve">POST-60982</t>
  </si>
  <si>
    <t xml:space="preserve">POST-60983</t>
  </si>
  <si>
    <t xml:space="preserve">POST-60984</t>
  </si>
  <si>
    <t xml:space="preserve">POST-60985</t>
  </si>
  <si>
    <t xml:space="preserve">POST-60986</t>
  </si>
  <si>
    <t xml:space="preserve">POST-60987</t>
  </si>
  <si>
    <t xml:space="preserve">POST-60988</t>
  </si>
  <si>
    <t xml:space="preserve">POST-60989</t>
  </si>
  <si>
    <t xml:space="preserve">POST-60990</t>
  </si>
  <si>
    <t xml:space="preserve">POST-60991</t>
  </si>
  <si>
    <t xml:space="preserve">POST-60992</t>
  </si>
  <si>
    <t xml:space="preserve">POST-60993</t>
  </si>
  <si>
    <t xml:space="preserve">POST-60994</t>
  </si>
  <si>
    <t xml:space="preserve">POST-60995</t>
  </si>
  <si>
    <t xml:space="preserve">POST-60996</t>
  </si>
  <si>
    <t xml:space="preserve">POST-60997</t>
  </si>
  <si>
    <t xml:space="preserve">POST-60998</t>
  </si>
  <si>
    <t xml:space="preserve">POST-60999</t>
  </si>
  <si>
    <t xml:space="preserve">POST-61000</t>
  </si>
  <si>
    <t xml:space="preserve">Pivot Table: Total Impressions &amp; Total Likes by Platform</t>
  </si>
  <si>
    <t xml:space="preserve">Total Impressions</t>
  </si>
  <si>
    <t xml:space="preserve">Total Likes</t>
  </si>
  <si>
    <t xml:space="preserve">Grand Total</t>
  </si>
  <si>
    <t xml:space="preserve">Note: Built as a formula-driven summary table (SUMIF by Platform) equivalent to an Excel Pivot Table, since this file is generated programmatically. In Excel, select the raw data range and use Insert &gt; PivotTable for a native interactive version with the same fields (Platform in Rows, Impressions and Likes in Values).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</si>
</sst>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yy"/>
    <numFmt numFmtId="166" formatCode="#,##0"/>
    <numFmt numFmtId="167" formatCode="0.00\%"/>
    <numFmt numFmtId="168" formatCode="0.00%"/>
  </numFmts>
  <fonts count="15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ptos Narrow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2"/>
      <color theme="1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8"/>
      <color rgb="FF000000"/>
      <name val="Aptos Narrow"/>
      <family val="2"/>
    </font>
    <font>
      <sz val="10"/>
      <color rgb="FF000000"/>
      <name val="Aptos Narrow"/>
      <family val="2"/>
    </font>
    <font>
      <b val="true"/>
      <sz val="10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15608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7B7B7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97132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  <a:ea typeface="Aptos Narrow"/>
              </a:rPr>
              <a:t>Total Impressions &amp; Total Likes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Table'!B3</c:f>
              <c:strCache>
                <c:ptCount val="1"/>
                <c:pt idx="0">
                  <c:v>Total Impressions</c:v>
                </c:pt>
              </c:strCache>
            </c:strRef>
          </c:tx>
          <c:spPr>
            <a:solidFill>
              <a:srgbClr val="156082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Table'!$A$4:$A$8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TikTok</c:v>
                </c:pt>
                <c:pt idx="4">
                  <c:v>Twitter</c:v>
                </c:pt>
              </c:strCache>
            </c:strRef>
          </c:cat>
          <c:val>
            <c:numRef>
              <c:f>'Pivot Table'!$B$4:$B$8</c:f>
              <c:numCache>
                <c:formatCode>#,##0</c:formatCode>
                <c:ptCount val="5"/>
                <c:pt idx="0">
                  <c:v>4229271</c:v>
                </c:pt>
                <c:pt idx="1">
                  <c:v>12425477</c:v>
                </c:pt>
                <c:pt idx="2">
                  <c:v>2033218</c:v>
                </c:pt>
                <c:pt idx="3">
                  <c:v>56611226</c:v>
                </c:pt>
                <c:pt idx="4">
                  <c:v>2930077</c:v>
                </c:pt>
              </c:numCache>
            </c:numRef>
          </c:val>
        </c:ser>
        <c:ser>
          <c:idx val="1"/>
          <c:order val="1"/>
          <c:tx>
            <c:strRef>
              <c:f>'Pivot Table'!C3</c:f>
              <c:strCache>
                <c:ptCount val="1"/>
                <c:pt idx="0">
                  <c:v>Total Likes</c:v>
                </c:pt>
              </c:strCache>
            </c:strRef>
          </c:tx>
          <c:spPr>
            <a:solidFill>
              <a:srgbClr val="e97132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Table'!$A$4:$A$8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TikTok</c:v>
                </c:pt>
                <c:pt idx="4">
                  <c:v>Twitter</c:v>
                </c:pt>
              </c:strCache>
            </c:strRef>
          </c:cat>
          <c:val>
            <c:numRef>
              <c:f>'Pivot Table'!$C$4:$C$8</c:f>
              <c:numCache>
                <c:formatCode>#,##0</c:formatCode>
                <c:ptCount val="5"/>
                <c:pt idx="0">
                  <c:v>62993</c:v>
                </c:pt>
                <c:pt idx="1">
                  <c:v>371886</c:v>
                </c:pt>
                <c:pt idx="2">
                  <c:v>46667</c:v>
                </c:pt>
                <c:pt idx="3">
                  <c:v>2070105</c:v>
                </c:pt>
                <c:pt idx="4">
                  <c:v>37591</c:v>
                </c:pt>
              </c:numCache>
            </c:numRef>
          </c:val>
        </c:ser>
        <c:gapWidth val="150"/>
        <c:overlap val="0"/>
        <c:axId val="25858301"/>
        <c:axId val="69630807"/>
      </c:barChart>
      <c:catAx>
        <c:axId val="258583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  <a:ea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  <a:ea typeface="Aptos Narrow"/>
                  </a:rPr>
                  <a:t>Platform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69630807"/>
        <c:crosses val="autoZero"/>
        <c:auto val="1"/>
        <c:lblAlgn val="ctr"/>
        <c:lblOffset val="100"/>
        <c:noMultiLvlLbl val="0"/>
      </c:catAx>
      <c:valAx>
        <c:axId val="6963080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  <a:ea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  <a:ea typeface="Aptos Narrow"/>
                  </a:rPr>
                  <a:t>Total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258583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  <a:ea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175680</xdr:rowOff>
    </xdr:from>
    <xdr:to>
      <xdr:col>13</xdr:col>
      <xdr:colOff>370080</xdr:colOff>
      <xdr:row>20</xdr:row>
      <xdr:rowOff>155880</xdr:rowOff>
    </xdr:to>
    <xdr:graphicFrame>
      <xdr:nvGraphicFramePr>
        <xdr:cNvPr id="0" name="Chart 1"/>
        <xdr:cNvGraphicFramePr/>
      </xdr:nvGraphicFramePr>
      <xdr:xfrm>
        <a:off x="5381640" y="3808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2890625" defaultRowHeight="15" zeroHeight="false" outlineLevelRow="0" outlineLevelCol="0"/>
  <cols>
    <col collapsed="false" customWidth="true" hidden="false" outlineLevel="0" max="10" min="1" style="0" width="0.38"/>
    <col collapsed="false" customWidth="true" hidden="false" outlineLevel="0" max="11" min="11" style="0" width="16"/>
    <col collapsed="false" customWidth="true" hidden="false" outlineLevel="0" max="12" min="12" style="0" width="12.38"/>
    <col collapsed="false" customWidth="true" hidden="false" outlineLevel="0" max="13" min="13" style="0" width="11.63"/>
    <col collapsed="false" customWidth="true" hidden="false" outlineLevel="0" max="14" min="14" style="0" width="11.25"/>
    <col collapsed="false" customWidth="true" hidden="false" outlineLevel="0" max="25" min="15" style="0" width="34"/>
    <col collapsed="false" customWidth="true" hidden="false" outlineLevel="0" max="26" min="26" style="0" width="10.13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3</v>
      </c>
      <c r="M1" s="2" t="s">
        <v>11</v>
      </c>
      <c r="N1" s="3"/>
      <c r="O1" s="4" t="s">
        <v>12</v>
      </c>
    </row>
    <row r="2" customFormat="false" ht="14.25" hidden="false" customHeight="true" outlineLevel="0" collapsed="false">
      <c r="A2" s="5" t="s">
        <v>13</v>
      </c>
      <c r="B2" s="5" t="s">
        <v>14</v>
      </c>
      <c r="C2" s="6" t="n">
        <v>45685</v>
      </c>
      <c r="D2" s="5" t="s">
        <v>15</v>
      </c>
      <c r="E2" s="7" t="n">
        <v>24500</v>
      </c>
      <c r="F2" s="7" t="n">
        <v>7733</v>
      </c>
      <c r="G2" s="7" t="n">
        <v>383</v>
      </c>
      <c r="H2" s="7" t="n">
        <v>68</v>
      </c>
      <c r="I2" s="7" t="n">
        <v>188</v>
      </c>
      <c r="J2" s="8" t="n">
        <v>8.26</v>
      </c>
      <c r="K2" s="9" t="n">
        <f aca="false">(G2+H2+I2)/E2</f>
        <v>0.0260816326530612</v>
      </c>
      <c r="L2" s="10" t="s">
        <v>15</v>
      </c>
      <c r="M2" s="10" t="n">
        <f aca="false">SUMIF(D:D,L2,I:I)</f>
        <v>13094</v>
      </c>
      <c r="O2" s="11" t="s">
        <v>16</v>
      </c>
      <c r="P2" s="4" t="str">
        <f aca="false">M8</f>
        <v>Reel</v>
      </c>
    </row>
    <row r="3" customFormat="false" ht="14.25" hidden="false" customHeight="true" outlineLevel="0" collapsed="false">
      <c r="A3" s="5" t="s">
        <v>17</v>
      </c>
      <c r="B3" s="5" t="s">
        <v>18</v>
      </c>
      <c r="C3" s="6" t="n">
        <v>45959</v>
      </c>
      <c r="D3" s="5" t="s">
        <v>19</v>
      </c>
      <c r="E3" s="7" t="n">
        <v>23105</v>
      </c>
      <c r="F3" s="7" t="n">
        <v>11753</v>
      </c>
      <c r="G3" s="7" t="n">
        <v>298</v>
      </c>
      <c r="H3" s="7" t="n">
        <v>61</v>
      </c>
      <c r="I3" s="7" t="n">
        <v>69</v>
      </c>
      <c r="J3" s="8" t="n">
        <v>3.64</v>
      </c>
      <c r="K3" s="9" t="n">
        <f aca="false">(G3+H3+I3)/E3</f>
        <v>0.018524128976412</v>
      </c>
      <c r="L3" s="10" t="s">
        <v>19</v>
      </c>
      <c r="M3" s="10" t="n">
        <f aca="false">SUMIF(D:D,L3,I:I)</f>
        <v>18617</v>
      </c>
      <c r="N3" s="5"/>
      <c r="O3" s="11" t="s">
        <v>20</v>
      </c>
      <c r="P3" s="12" t="n">
        <f aca="false">MAX(M2:M6)</f>
        <v>444520</v>
      </c>
    </row>
    <row r="4" customFormat="false" ht="14.25" hidden="false" customHeight="true" outlineLevel="0" collapsed="false">
      <c r="A4" s="5" t="s">
        <v>21</v>
      </c>
      <c r="B4" s="5" t="s">
        <v>22</v>
      </c>
      <c r="C4" s="6" t="n">
        <v>45433</v>
      </c>
      <c r="D4" s="5" t="s">
        <v>23</v>
      </c>
      <c r="E4" s="7" t="n">
        <v>24700</v>
      </c>
      <c r="F4" s="7" t="n">
        <v>14185</v>
      </c>
      <c r="G4" s="7" t="n">
        <v>168</v>
      </c>
      <c r="H4" s="7" t="n">
        <v>54</v>
      </c>
      <c r="I4" s="7" t="n">
        <v>238</v>
      </c>
      <c r="J4" s="8" t="n">
        <v>3.24</v>
      </c>
      <c r="K4" s="9" t="n">
        <f aca="false">(G4+H4+I4)/E4</f>
        <v>0.0186234817813765</v>
      </c>
      <c r="L4" s="10" t="s">
        <v>23</v>
      </c>
      <c r="M4" s="10" t="n">
        <f aca="false">SUMIF(D:D,L4,I:I)</f>
        <v>440197</v>
      </c>
    </row>
    <row r="5" customFormat="false" ht="14.25" hidden="false" customHeight="true" outlineLevel="0" collapsed="false">
      <c r="A5" s="5" t="s">
        <v>24</v>
      </c>
      <c r="B5" s="5" t="s">
        <v>25</v>
      </c>
      <c r="C5" s="6" t="n">
        <v>45835</v>
      </c>
      <c r="D5" s="5" t="s">
        <v>23</v>
      </c>
      <c r="E5" s="7" t="n">
        <v>400879</v>
      </c>
      <c r="F5" s="7" t="n">
        <v>188271</v>
      </c>
      <c r="G5" s="7" t="n">
        <v>5974</v>
      </c>
      <c r="H5" s="7" t="n">
        <v>2084</v>
      </c>
      <c r="I5" s="7" t="n">
        <v>6006</v>
      </c>
      <c r="J5" s="8" t="n">
        <v>7.47</v>
      </c>
      <c r="K5" s="9" t="n">
        <f aca="false">(G5+H5+I5)/E5</f>
        <v>0.035082905315569</v>
      </c>
      <c r="L5" s="10" t="s">
        <v>26</v>
      </c>
      <c r="M5" s="10" t="n">
        <f aca="false">SUMIF(D:D,L5,I:I)</f>
        <v>444520</v>
      </c>
    </row>
    <row r="6" customFormat="false" ht="14.25" hidden="false" customHeight="true" outlineLevel="0" collapsed="false">
      <c r="A6" s="5" t="s">
        <v>27</v>
      </c>
      <c r="B6" s="5" t="s">
        <v>18</v>
      </c>
      <c r="C6" s="6" t="n">
        <v>45397</v>
      </c>
      <c r="D6" s="5" t="s">
        <v>23</v>
      </c>
      <c r="E6" s="7" t="n">
        <v>13259</v>
      </c>
      <c r="F6" s="7" t="n">
        <v>5637</v>
      </c>
      <c r="G6" s="7" t="n">
        <v>352</v>
      </c>
      <c r="H6" s="7" t="n">
        <v>61</v>
      </c>
      <c r="I6" s="7" t="n">
        <v>8</v>
      </c>
      <c r="J6" s="8" t="n">
        <v>7.47</v>
      </c>
      <c r="K6" s="9" t="n">
        <f aca="false">(G6+H6+I6)/E6</f>
        <v>0.0317520174975488</v>
      </c>
      <c r="L6" s="10" t="s">
        <v>28</v>
      </c>
      <c r="M6" s="10" t="n">
        <f aca="false">SUMIF(D:D,L6,I:I)</f>
        <v>25182</v>
      </c>
    </row>
    <row r="7" customFormat="false" ht="14.25" hidden="false" customHeight="true" outlineLevel="0" collapsed="false">
      <c r="A7" s="5" t="s">
        <v>29</v>
      </c>
      <c r="B7" s="5" t="s">
        <v>18</v>
      </c>
      <c r="C7" s="6" t="n">
        <v>45372</v>
      </c>
      <c r="D7" s="5" t="s">
        <v>19</v>
      </c>
      <c r="E7" s="7" t="n">
        <v>6469</v>
      </c>
      <c r="F7" s="7" t="n">
        <v>3790</v>
      </c>
      <c r="G7" s="7" t="n">
        <v>205</v>
      </c>
      <c r="H7" s="7" t="n">
        <v>10</v>
      </c>
      <c r="I7" s="7" t="n">
        <v>13</v>
      </c>
      <c r="J7" s="8" t="n">
        <v>6.02</v>
      </c>
      <c r="K7" s="9" t="n">
        <f aca="false">(G7+H7+I7)/E7</f>
        <v>0.0352450146854228</v>
      </c>
      <c r="L7" s="10"/>
      <c r="M7" s="10"/>
    </row>
    <row r="8" customFormat="false" ht="14.25" hidden="false" customHeight="true" outlineLevel="0" collapsed="false">
      <c r="A8" s="5" t="s">
        <v>30</v>
      </c>
      <c r="B8" s="5" t="s">
        <v>18</v>
      </c>
      <c r="C8" s="6" t="n">
        <v>45895</v>
      </c>
      <c r="D8" s="3" t="s">
        <v>26</v>
      </c>
      <c r="E8" s="7" t="n">
        <v>35618</v>
      </c>
      <c r="F8" s="7" t="n">
        <v>19926</v>
      </c>
      <c r="G8" s="7" t="n">
        <v>667</v>
      </c>
      <c r="H8" s="7" t="n">
        <v>236</v>
      </c>
      <c r="I8" s="7" t="n">
        <v>182</v>
      </c>
      <c r="J8" s="8" t="n">
        <v>5.45</v>
      </c>
      <c r="K8" s="9" t="n">
        <f aca="false">(G8+H8+I8)/E8</f>
        <v>0.0304621258914032</v>
      </c>
      <c r="L8" s="13" t="s">
        <v>31</v>
      </c>
      <c r="M8" s="10" t="str">
        <f aca="false" t="array" ref="M8:M8">INDEX(L2:L6,MATCH(MAX(M2:M6),M2:M6,0))</f>
        <v>Reel</v>
      </c>
    </row>
    <row r="9" customFormat="false" ht="14.25" hidden="false" customHeight="true" outlineLevel="0" collapsed="false">
      <c r="A9" s="5" t="s">
        <v>32</v>
      </c>
      <c r="B9" s="5" t="s">
        <v>33</v>
      </c>
      <c r="C9" s="6" t="n">
        <v>45477</v>
      </c>
      <c r="D9" s="5" t="s">
        <v>15</v>
      </c>
      <c r="E9" s="7" t="n">
        <v>9468</v>
      </c>
      <c r="F9" s="7" t="n">
        <v>4910</v>
      </c>
      <c r="G9" s="7" t="n">
        <v>173</v>
      </c>
      <c r="H9" s="7" t="n">
        <v>67</v>
      </c>
      <c r="I9" s="7" t="n">
        <v>20</v>
      </c>
      <c r="J9" s="8" t="n">
        <v>5.3</v>
      </c>
      <c r="K9" s="9" t="n">
        <f aca="false">(G9+H9+I9)/E9</f>
        <v>0.0274609209970427</v>
      </c>
      <c r="L9" s="13"/>
      <c r="M9" s="13"/>
    </row>
    <row r="10" customFormat="false" ht="14.25" hidden="false" customHeight="true" outlineLevel="0" collapsed="false">
      <c r="A10" s="5" t="s">
        <v>34</v>
      </c>
      <c r="B10" s="5" t="s">
        <v>18</v>
      </c>
      <c r="C10" s="6" t="n">
        <v>45320</v>
      </c>
      <c r="D10" s="5" t="s">
        <v>26</v>
      </c>
      <c r="E10" s="7" t="n">
        <v>99396</v>
      </c>
      <c r="F10" s="7" t="n">
        <v>75092</v>
      </c>
      <c r="G10" s="7" t="n">
        <v>5314</v>
      </c>
      <c r="H10" s="7" t="n">
        <v>887</v>
      </c>
      <c r="I10" s="7" t="n">
        <v>706</v>
      </c>
      <c r="J10" s="8" t="n">
        <v>9.2</v>
      </c>
      <c r="K10" s="9" t="n">
        <f aca="false">(G10+H10+I10)/E10</f>
        <v>0.0694897178960924</v>
      </c>
      <c r="L10" s="14"/>
    </row>
    <row r="11" customFormat="false" ht="14.25" hidden="false" customHeight="true" outlineLevel="0" collapsed="false">
      <c r="A11" s="5" t="s">
        <v>35</v>
      </c>
      <c r="B11" s="5" t="s">
        <v>25</v>
      </c>
      <c r="C11" s="6" t="n">
        <v>45550</v>
      </c>
      <c r="D11" s="5" t="s">
        <v>26</v>
      </c>
      <c r="E11" s="7" t="n">
        <v>27570</v>
      </c>
      <c r="F11" s="7" t="n">
        <v>16102</v>
      </c>
      <c r="G11" s="7" t="n">
        <v>1791</v>
      </c>
      <c r="H11" s="7" t="n">
        <v>337</v>
      </c>
      <c r="I11" s="7" t="n">
        <v>297</v>
      </c>
      <c r="J11" s="8" t="n">
        <v>15.06</v>
      </c>
      <c r="K11" s="9" t="n">
        <f aca="false">(G11+H11+I11)/E11</f>
        <v>0.0879579252811027</v>
      </c>
    </row>
    <row r="12" customFormat="false" ht="14.25" hidden="false" customHeight="true" outlineLevel="0" collapsed="false">
      <c r="A12" s="5" t="s">
        <v>36</v>
      </c>
      <c r="B12" s="5" t="s">
        <v>14</v>
      </c>
      <c r="C12" s="6" t="n">
        <v>45530</v>
      </c>
      <c r="D12" s="5" t="s">
        <v>23</v>
      </c>
      <c r="E12" s="7" t="n">
        <v>49204</v>
      </c>
      <c r="F12" s="7" t="n">
        <v>23651</v>
      </c>
      <c r="G12" s="7" t="n">
        <v>804</v>
      </c>
      <c r="H12" s="7" t="n">
        <v>381</v>
      </c>
      <c r="I12" s="7" t="n">
        <v>677</v>
      </c>
      <c r="J12" s="8" t="n">
        <v>7.87</v>
      </c>
      <c r="K12" s="9" t="n">
        <f aca="false">(G12+H12+I12)/E12</f>
        <v>0.0378424518331843</v>
      </c>
    </row>
    <row r="13" customFormat="false" ht="14.25" hidden="false" customHeight="true" outlineLevel="0" collapsed="false">
      <c r="A13" s="5" t="s">
        <v>37</v>
      </c>
      <c r="B13" s="5" t="s">
        <v>25</v>
      </c>
      <c r="C13" s="6" t="n">
        <v>45330</v>
      </c>
      <c r="D13" s="5" t="s">
        <v>23</v>
      </c>
      <c r="E13" s="7" t="n">
        <v>491623</v>
      </c>
      <c r="F13" s="7" t="n">
        <v>208356</v>
      </c>
      <c r="G13" s="7" t="n">
        <v>20614</v>
      </c>
      <c r="H13" s="7" t="n">
        <v>3190</v>
      </c>
      <c r="I13" s="7" t="n">
        <v>7463</v>
      </c>
      <c r="J13" s="8" t="n">
        <v>15.01</v>
      </c>
      <c r="K13" s="9" t="n">
        <f aca="false">(G13+H13+I13)/E13</f>
        <v>0.063599546807208</v>
      </c>
    </row>
    <row r="14" customFormat="false" ht="14.25" hidden="false" customHeight="true" outlineLevel="0" collapsed="false">
      <c r="A14" s="5" t="s">
        <v>38</v>
      </c>
      <c r="B14" s="5" t="s">
        <v>18</v>
      </c>
      <c r="C14" s="6" t="n">
        <v>45411</v>
      </c>
      <c r="D14" s="3" t="s">
        <v>28</v>
      </c>
      <c r="E14" s="7" t="n">
        <v>64155</v>
      </c>
      <c r="F14" s="7" t="n">
        <v>29632</v>
      </c>
      <c r="G14" s="7" t="n">
        <v>1109</v>
      </c>
      <c r="H14" s="7" t="n">
        <v>285</v>
      </c>
      <c r="I14" s="7" t="n">
        <v>145</v>
      </c>
      <c r="J14" s="8" t="n">
        <v>5.19</v>
      </c>
      <c r="K14" s="9" t="n">
        <f aca="false">(G14+H14+I14)/E14</f>
        <v>0.0239887771802665</v>
      </c>
    </row>
    <row r="15" customFormat="false" ht="14.25" hidden="false" customHeight="true" outlineLevel="0" collapsed="false">
      <c r="A15" s="5" t="s">
        <v>39</v>
      </c>
      <c r="B15" s="5" t="s">
        <v>18</v>
      </c>
      <c r="C15" s="6" t="n">
        <v>45633</v>
      </c>
      <c r="D15" s="5" t="s">
        <v>28</v>
      </c>
      <c r="E15" s="7" t="n">
        <v>28492</v>
      </c>
      <c r="F15" s="7" t="n">
        <v>15059</v>
      </c>
      <c r="G15" s="7" t="n">
        <v>332</v>
      </c>
      <c r="H15" s="7" t="n">
        <v>141</v>
      </c>
      <c r="I15" s="7" t="n">
        <v>89</v>
      </c>
      <c r="J15" s="8" t="n">
        <v>3.73</v>
      </c>
      <c r="K15" s="9" t="n">
        <f aca="false">(G15+H15+I15)/E15</f>
        <v>0.0197248350414151</v>
      </c>
    </row>
    <row r="16" customFormat="false" ht="14.25" hidden="false" customHeight="true" outlineLevel="0" collapsed="false">
      <c r="A16" s="5" t="s">
        <v>40</v>
      </c>
      <c r="B16" s="5" t="s">
        <v>18</v>
      </c>
      <c r="C16" s="6" t="n">
        <v>45546</v>
      </c>
      <c r="D16" s="5" t="s">
        <v>23</v>
      </c>
      <c r="E16" s="7" t="n">
        <v>10536</v>
      </c>
      <c r="F16" s="7" t="n">
        <v>6800</v>
      </c>
      <c r="G16" s="7" t="n">
        <v>151</v>
      </c>
      <c r="H16" s="7" t="n">
        <v>35</v>
      </c>
      <c r="I16" s="7" t="n">
        <v>32</v>
      </c>
      <c r="J16" s="8" t="n">
        <v>3.21</v>
      </c>
      <c r="K16" s="9" t="n">
        <f aca="false">(G16+H16+I16)/E16</f>
        <v>0.0206909643128322</v>
      </c>
    </row>
    <row r="17" customFormat="false" ht="14.25" hidden="false" customHeight="true" outlineLevel="0" collapsed="false">
      <c r="A17" s="5" t="s">
        <v>41</v>
      </c>
      <c r="B17" s="5" t="s">
        <v>33</v>
      </c>
      <c r="C17" s="6" t="n">
        <v>46013</v>
      </c>
      <c r="D17" s="5" t="s">
        <v>15</v>
      </c>
      <c r="E17" s="7" t="n">
        <v>18688</v>
      </c>
      <c r="F17" s="7" t="n">
        <v>11271</v>
      </c>
      <c r="G17" s="7" t="n">
        <v>652</v>
      </c>
      <c r="H17" s="7" t="n">
        <v>106</v>
      </c>
      <c r="I17" s="7" t="n">
        <v>143</v>
      </c>
      <c r="J17" s="8" t="n">
        <v>7.99</v>
      </c>
      <c r="K17" s="9" t="n">
        <f aca="false">(G17+H17+I17)/E17</f>
        <v>0.0482127568493151</v>
      </c>
    </row>
    <row r="18" customFormat="false" ht="14.25" hidden="false" customHeight="true" outlineLevel="0" collapsed="false">
      <c r="A18" s="5" t="s">
        <v>42</v>
      </c>
      <c r="B18" s="5" t="s">
        <v>14</v>
      </c>
      <c r="C18" s="6" t="n">
        <v>45376</v>
      </c>
      <c r="D18" s="5" t="s">
        <v>28</v>
      </c>
      <c r="E18" s="7" t="n">
        <v>21204</v>
      </c>
      <c r="F18" s="7" t="n">
        <v>13712</v>
      </c>
      <c r="G18" s="7" t="n">
        <v>177</v>
      </c>
      <c r="H18" s="7" t="n">
        <v>179</v>
      </c>
      <c r="I18" s="7" t="n">
        <v>269</v>
      </c>
      <c r="J18" s="8" t="n">
        <v>4.56</v>
      </c>
      <c r="K18" s="9" t="n">
        <f aca="false">(G18+H18+I18)/E18</f>
        <v>0.0294755706470477</v>
      </c>
    </row>
    <row r="19" customFormat="false" ht="14.25" hidden="false" customHeight="true" outlineLevel="0" collapsed="false">
      <c r="A19" s="5" t="s">
        <v>43</v>
      </c>
      <c r="B19" s="5" t="s">
        <v>18</v>
      </c>
      <c r="C19" s="6" t="n">
        <v>45918</v>
      </c>
      <c r="D19" s="5" t="s">
        <v>19</v>
      </c>
      <c r="E19" s="7" t="n">
        <v>28864</v>
      </c>
      <c r="F19" s="7" t="n">
        <v>14737</v>
      </c>
      <c r="G19" s="7" t="n">
        <v>703</v>
      </c>
      <c r="H19" s="7" t="n">
        <v>146</v>
      </c>
      <c r="I19" s="7" t="n">
        <v>68</v>
      </c>
      <c r="J19" s="8" t="n">
        <v>6.22</v>
      </c>
      <c r="K19" s="9" t="n">
        <f aca="false">(G19+H19+I19)/E19</f>
        <v>0.0317696784922395</v>
      </c>
    </row>
    <row r="20" customFormat="false" ht="14.25" hidden="false" customHeight="true" outlineLevel="0" collapsed="false">
      <c r="A20" s="5" t="s">
        <v>44</v>
      </c>
      <c r="B20" s="5" t="s">
        <v>18</v>
      </c>
      <c r="C20" s="6" t="n">
        <v>45511</v>
      </c>
      <c r="D20" s="5" t="s">
        <v>19</v>
      </c>
      <c r="E20" s="7" t="n">
        <v>46840</v>
      </c>
      <c r="F20" s="7" t="n">
        <v>31199</v>
      </c>
      <c r="G20" s="7" t="n">
        <v>1992</v>
      </c>
      <c r="H20" s="7" t="n">
        <v>297</v>
      </c>
      <c r="I20" s="7" t="n">
        <v>285</v>
      </c>
      <c r="J20" s="8" t="n">
        <v>8.25</v>
      </c>
      <c r="K20" s="9" t="n">
        <f aca="false">(G20+H20+I20)/E20</f>
        <v>0.0549530315969257</v>
      </c>
    </row>
    <row r="21" customFormat="false" ht="14.25" hidden="false" customHeight="true" outlineLevel="0" collapsed="false">
      <c r="A21" s="5" t="s">
        <v>45</v>
      </c>
      <c r="B21" s="5" t="s">
        <v>14</v>
      </c>
      <c r="C21" s="6" t="n">
        <v>45861</v>
      </c>
      <c r="D21" s="5" t="s">
        <v>15</v>
      </c>
      <c r="E21" s="7" t="n">
        <v>1778</v>
      </c>
      <c r="F21" s="7" t="n">
        <v>615</v>
      </c>
      <c r="G21" s="7" t="n">
        <v>27</v>
      </c>
      <c r="H21" s="7" t="n">
        <v>6</v>
      </c>
      <c r="I21" s="7" t="n">
        <v>9</v>
      </c>
      <c r="J21" s="8" t="n">
        <v>6.83</v>
      </c>
      <c r="K21" s="9" t="n">
        <f aca="false">(G21+H21+I21)/E21</f>
        <v>0.0236220472440945</v>
      </c>
    </row>
    <row r="22" customFormat="false" ht="14.25" hidden="false" customHeight="true" outlineLevel="0" collapsed="false">
      <c r="A22" s="5" t="s">
        <v>46</v>
      </c>
      <c r="B22" s="5" t="s">
        <v>25</v>
      </c>
      <c r="C22" s="6" t="n">
        <v>45770</v>
      </c>
      <c r="D22" s="5" t="s">
        <v>26</v>
      </c>
      <c r="E22" s="7" t="n">
        <v>156565</v>
      </c>
      <c r="F22" s="7" t="n">
        <v>91504</v>
      </c>
      <c r="G22" s="7" t="n">
        <v>7976</v>
      </c>
      <c r="H22" s="7" t="n">
        <v>1007</v>
      </c>
      <c r="I22" s="7" t="n">
        <v>2374</v>
      </c>
      <c r="J22" s="8" t="n">
        <v>12.41</v>
      </c>
      <c r="K22" s="9" t="n">
        <f aca="false">(G22+H22+I22)/E22</f>
        <v>0.0725385622584869</v>
      </c>
    </row>
    <row r="23" customFormat="false" ht="14.25" hidden="false" customHeight="true" outlineLevel="0" collapsed="false">
      <c r="A23" s="5" t="s">
        <v>47</v>
      </c>
      <c r="B23" s="5" t="s">
        <v>14</v>
      </c>
      <c r="C23" s="6" t="n">
        <v>45534</v>
      </c>
      <c r="D23" s="5" t="s">
        <v>28</v>
      </c>
      <c r="E23" s="7" t="n">
        <v>24262</v>
      </c>
      <c r="F23" s="7" t="n">
        <v>14375</v>
      </c>
      <c r="G23" s="7" t="n">
        <v>505</v>
      </c>
      <c r="H23" s="7" t="n">
        <v>155</v>
      </c>
      <c r="I23" s="7" t="n">
        <v>275</v>
      </c>
      <c r="J23" s="8" t="n">
        <v>6.5</v>
      </c>
      <c r="K23" s="9" t="n">
        <f aca="false">(G23+H23+I23)/E23</f>
        <v>0.0385376308630781</v>
      </c>
    </row>
    <row r="24" customFormat="false" ht="14.25" hidden="false" customHeight="true" outlineLevel="0" collapsed="false">
      <c r="A24" s="5" t="s">
        <v>48</v>
      </c>
      <c r="B24" s="5" t="s">
        <v>33</v>
      </c>
      <c r="C24" s="6" t="n">
        <v>45968</v>
      </c>
      <c r="D24" s="5" t="s">
        <v>15</v>
      </c>
      <c r="E24" s="7" t="n">
        <v>6057</v>
      </c>
      <c r="F24" s="7" t="n">
        <v>4215</v>
      </c>
      <c r="G24" s="7" t="n">
        <v>74</v>
      </c>
      <c r="H24" s="7" t="n">
        <v>65</v>
      </c>
      <c r="I24" s="7" t="n">
        <v>43</v>
      </c>
      <c r="J24" s="8" t="n">
        <v>4.32</v>
      </c>
      <c r="K24" s="9" t="n">
        <f aca="false">(G24+H24+I24)/E24</f>
        <v>0.0300478784877002</v>
      </c>
    </row>
    <row r="25" customFormat="false" ht="14.25" hidden="false" customHeight="true" outlineLevel="0" collapsed="false">
      <c r="A25" s="5" t="s">
        <v>49</v>
      </c>
      <c r="B25" s="5" t="s">
        <v>14</v>
      </c>
      <c r="C25" s="6" t="n">
        <v>45976</v>
      </c>
      <c r="D25" s="5" t="s">
        <v>15</v>
      </c>
      <c r="E25" s="7" t="n">
        <v>28124</v>
      </c>
      <c r="F25" s="7" t="n">
        <v>17131</v>
      </c>
      <c r="G25" s="7" t="n">
        <v>645</v>
      </c>
      <c r="H25" s="7" t="n">
        <v>158</v>
      </c>
      <c r="I25" s="7" t="n">
        <v>506</v>
      </c>
      <c r="J25" s="8" t="n">
        <v>7.64</v>
      </c>
      <c r="K25" s="9" t="n">
        <f aca="false">(G25+H25+I25)/E25</f>
        <v>0.0465438771156308</v>
      </c>
    </row>
    <row r="26" customFormat="false" ht="14.25" hidden="false" customHeight="true" outlineLevel="0" collapsed="false">
      <c r="A26" s="5" t="s">
        <v>50</v>
      </c>
      <c r="B26" s="5" t="s">
        <v>33</v>
      </c>
      <c r="C26" s="6" t="n">
        <v>45579</v>
      </c>
      <c r="D26" s="5" t="s">
        <v>19</v>
      </c>
      <c r="E26" s="7" t="n">
        <v>17059</v>
      </c>
      <c r="F26" s="7" t="n">
        <v>11269</v>
      </c>
      <c r="G26" s="7" t="n">
        <v>423</v>
      </c>
      <c r="H26" s="7" t="n">
        <v>68</v>
      </c>
      <c r="I26" s="7" t="n">
        <v>34</v>
      </c>
      <c r="J26" s="8" t="n">
        <v>4.66</v>
      </c>
      <c r="K26" s="9" t="n">
        <f aca="false">(G26+H26+I26)/E26</f>
        <v>0.0307755437012721</v>
      </c>
    </row>
    <row r="27" customFormat="false" ht="14.25" hidden="false" customHeight="true" outlineLevel="0" collapsed="false">
      <c r="A27" s="5" t="s">
        <v>51</v>
      </c>
      <c r="B27" s="5" t="s">
        <v>22</v>
      </c>
      <c r="C27" s="6" t="n">
        <v>45909</v>
      </c>
      <c r="D27" s="5" t="s">
        <v>15</v>
      </c>
      <c r="E27" s="7" t="n">
        <v>5218</v>
      </c>
      <c r="F27" s="7" t="n">
        <v>3851</v>
      </c>
      <c r="G27" s="7" t="n">
        <v>42</v>
      </c>
      <c r="H27" s="7" t="n">
        <v>14</v>
      </c>
      <c r="I27" s="7" t="n">
        <v>46</v>
      </c>
      <c r="J27" s="8" t="n">
        <v>2.65</v>
      </c>
      <c r="K27" s="9" t="n">
        <f aca="false">(G27+H27+I27)/E27</f>
        <v>0.0195477194327328</v>
      </c>
    </row>
    <row r="28" customFormat="false" ht="14.25" hidden="false" customHeight="true" outlineLevel="0" collapsed="false">
      <c r="A28" s="5" t="s">
        <v>52</v>
      </c>
      <c r="B28" s="5" t="s">
        <v>25</v>
      </c>
      <c r="C28" s="6" t="n">
        <v>45311</v>
      </c>
      <c r="D28" s="5" t="s">
        <v>26</v>
      </c>
      <c r="E28" s="7" t="n">
        <v>343265</v>
      </c>
      <c r="F28" s="7" t="n">
        <v>129653</v>
      </c>
      <c r="G28" s="7" t="n">
        <v>5453</v>
      </c>
      <c r="H28" s="7" t="n">
        <v>924</v>
      </c>
      <c r="I28" s="7" t="n">
        <v>4580</v>
      </c>
      <c r="J28" s="8" t="n">
        <v>8.45</v>
      </c>
      <c r="K28" s="9" t="n">
        <f aca="false">(G28+H28+I28)/E28</f>
        <v>0.031919945231818</v>
      </c>
    </row>
    <row r="29" customFormat="false" ht="14.25" hidden="false" customHeight="true" outlineLevel="0" collapsed="false">
      <c r="A29" s="5" t="s">
        <v>53</v>
      </c>
      <c r="B29" s="5" t="s">
        <v>25</v>
      </c>
      <c r="C29" s="6" t="n">
        <v>45311</v>
      </c>
      <c r="D29" s="5" t="s">
        <v>23</v>
      </c>
      <c r="E29" s="7" t="n">
        <v>272700</v>
      </c>
      <c r="F29" s="7" t="n">
        <v>129585</v>
      </c>
      <c r="G29" s="7" t="n">
        <v>15140</v>
      </c>
      <c r="H29" s="7" t="n">
        <v>1162</v>
      </c>
      <c r="I29" s="7" t="n">
        <v>5661</v>
      </c>
      <c r="J29" s="8" t="n">
        <v>16.95</v>
      </c>
      <c r="K29" s="9" t="n">
        <f aca="false">(G29+H29+I29)/E29</f>
        <v>0.0805390539053905</v>
      </c>
    </row>
    <row r="30" customFormat="false" ht="14.25" hidden="false" customHeight="true" outlineLevel="0" collapsed="false">
      <c r="A30" s="5" t="s">
        <v>54</v>
      </c>
      <c r="B30" s="5" t="s">
        <v>18</v>
      </c>
      <c r="C30" s="6" t="n">
        <v>45856</v>
      </c>
      <c r="D30" s="5" t="s">
        <v>19</v>
      </c>
      <c r="E30" s="7" t="n">
        <v>3041</v>
      </c>
      <c r="F30" s="7" t="n">
        <v>1504</v>
      </c>
      <c r="G30" s="7" t="n">
        <v>44</v>
      </c>
      <c r="H30" s="7" t="n">
        <v>5</v>
      </c>
      <c r="I30" s="7" t="n">
        <v>5</v>
      </c>
      <c r="J30" s="8" t="n">
        <v>3.59</v>
      </c>
      <c r="K30" s="9" t="n">
        <f aca="false">(G30+H30+I30)/E30</f>
        <v>0.0177573166721473</v>
      </c>
    </row>
    <row r="31" customFormat="false" ht="14.25" hidden="false" customHeight="true" outlineLevel="0" collapsed="false">
      <c r="A31" s="5" t="s">
        <v>55</v>
      </c>
      <c r="B31" s="5" t="s">
        <v>25</v>
      </c>
      <c r="C31" s="6" t="n">
        <v>45600</v>
      </c>
      <c r="D31" s="5" t="s">
        <v>23</v>
      </c>
      <c r="E31" s="7" t="n">
        <v>458030</v>
      </c>
      <c r="F31" s="7" t="n">
        <v>177152</v>
      </c>
      <c r="G31" s="7" t="n">
        <v>5638</v>
      </c>
      <c r="H31" s="7" t="n">
        <v>1481</v>
      </c>
      <c r="I31" s="7" t="n">
        <v>8257</v>
      </c>
      <c r="J31" s="8" t="n">
        <v>8.68</v>
      </c>
      <c r="K31" s="9" t="n">
        <f aca="false">(G31+H31+I31)/E31</f>
        <v>0.0335698535030457</v>
      </c>
    </row>
    <row r="32" customFormat="false" ht="14.25" hidden="false" customHeight="true" outlineLevel="0" collapsed="false">
      <c r="A32" s="5" t="s">
        <v>56</v>
      </c>
      <c r="B32" s="5" t="s">
        <v>18</v>
      </c>
      <c r="C32" s="6" t="n">
        <v>45925</v>
      </c>
      <c r="D32" s="5" t="s">
        <v>19</v>
      </c>
      <c r="E32" s="7" t="n">
        <v>35777</v>
      </c>
      <c r="F32" s="7" t="n">
        <v>21884</v>
      </c>
      <c r="G32" s="7" t="n">
        <v>534</v>
      </c>
      <c r="H32" s="7" t="n">
        <v>93</v>
      </c>
      <c r="I32" s="7" t="n">
        <v>46</v>
      </c>
      <c r="J32" s="8" t="n">
        <v>3.08</v>
      </c>
      <c r="K32" s="9" t="n">
        <f aca="false">(G32+H32+I32)/E32</f>
        <v>0.0188109679402968</v>
      </c>
    </row>
    <row r="33" customFormat="false" ht="14.25" hidden="false" customHeight="true" outlineLevel="0" collapsed="false">
      <c r="A33" s="5" t="s">
        <v>57</v>
      </c>
      <c r="B33" s="5" t="s">
        <v>14</v>
      </c>
      <c r="C33" s="6" t="n">
        <v>45839</v>
      </c>
      <c r="D33" s="5" t="s">
        <v>15</v>
      </c>
      <c r="E33" s="7" t="n">
        <v>15233</v>
      </c>
      <c r="F33" s="7" t="n">
        <v>10461</v>
      </c>
      <c r="G33" s="7" t="n">
        <v>106</v>
      </c>
      <c r="H33" s="7" t="n">
        <v>82</v>
      </c>
      <c r="I33" s="7" t="n">
        <v>289</v>
      </c>
      <c r="J33" s="8" t="n">
        <v>4.56</v>
      </c>
      <c r="K33" s="9" t="n">
        <f aca="false">(G33+H33+I33)/E33</f>
        <v>0.0313135954834898</v>
      </c>
    </row>
    <row r="34" customFormat="false" ht="14.25" hidden="false" customHeight="true" outlineLevel="0" collapsed="false">
      <c r="A34" s="5" t="s">
        <v>58</v>
      </c>
      <c r="B34" s="5" t="s">
        <v>14</v>
      </c>
      <c r="C34" s="6" t="n">
        <v>45606</v>
      </c>
      <c r="D34" s="5" t="s">
        <v>23</v>
      </c>
      <c r="E34" s="7" t="n">
        <v>47861</v>
      </c>
      <c r="F34" s="7" t="n">
        <v>33077</v>
      </c>
      <c r="G34" s="7" t="n">
        <v>457</v>
      </c>
      <c r="H34" s="7" t="n">
        <v>612</v>
      </c>
      <c r="I34" s="7" t="n">
        <v>666</v>
      </c>
      <c r="J34" s="8" t="n">
        <v>5.25</v>
      </c>
      <c r="K34" s="9" t="n">
        <f aca="false">(G34+H34+I34)/E34</f>
        <v>0.0362508096362383</v>
      </c>
    </row>
    <row r="35" customFormat="false" ht="14.25" hidden="false" customHeight="true" outlineLevel="0" collapsed="false">
      <c r="A35" s="5" t="s">
        <v>59</v>
      </c>
      <c r="B35" s="5" t="s">
        <v>33</v>
      </c>
      <c r="C35" s="6" t="n">
        <v>45642</v>
      </c>
      <c r="D35" s="5" t="s">
        <v>23</v>
      </c>
      <c r="E35" s="7" t="n">
        <v>31340</v>
      </c>
      <c r="F35" s="7" t="n">
        <v>20034</v>
      </c>
      <c r="G35" s="7" t="n">
        <v>370</v>
      </c>
      <c r="H35" s="7" t="n">
        <v>402</v>
      </c>
      <c r="I35" s="7" t="n">
        <v>184</v>
      </c>
      <c r="J35" s="8" t="n">
        <v>4.77</v>
      </c>
      <c r="K35" s="9" t="n">
        <f aca="false">(G35+H35+I35)/E35</f>
        <v>0.0305041480536056</v>
      </c>
    </row>
    <row r="36" customFormat="false" ht="14.25" hidden="false" customHeight="true" outlineLevel="0" collapsed="false">
      <c r="A36" s="5" t="s">
        <v>60</v>
      </c>
      <c r="B36" s="5" t="s">
        <v>18</v>
      </c>
      <c r="C36" s="6" t="n">
        <v>46013</v>
      </c>
      <c r="D36" s="5" t="s">
        <v>19</v>
      </c>
      <c r="E36" s="7" t="n">
        <v>39118</v>
      </c>
      <c r="F36" s="7" t="n">
        <v>25411</v>
      </c>
      <c r="G36" s="7" t="n">
        <v>830</v>
      </c>
      <c r="H36" s="7" t="n">
        <v>287</v>
      </c>
      <c r="I36" s="7" t="n">
        <v>240</v>
      </c>
      <c r="J36" s="8" t="n">
        <v>5.34</v>
      </c>
      <c r="K36" s="9" t="n">
        <f aca="false">(G36+H36+I36)/E36</f>
        <v>0.0346899125722174</v>
      </c>
    </row>
    <row r="37" customFormat="false" ht="14.25" hidden="false" customHeight="true" outlineLevel="0" collapsed="false">
      <c r="A37" s="5" t="s">
        <v>61</v>
      </c>
      <c r="B37" s="5" t="s">
        <v>25</v>
      </c>
      <c r="C37" s="6" t="n">
        <v>45760</v>
      </c>
      <c r="D37" s="5" t="s">
        <v>26</v>
      </c>
      <c r="E37" s="7" t="n">
        <v>24021</v>
      </c>
      <c r="F37" s="7" t="n">
        <v>8915</v>
      </c>
      <c r="G37" s="7" t="n">
        <v>1051</v>
      </c>
      <c r="H37" s="7" t="n">
        <v>243</v>
      </c>
      <c r="I37" s="7" t="n">
        <v>176</v>
      </c>
      <c r="J37" s="8" t="n">
        <v>16.49</v>
      </c>
      <c r="K37" s="9" t="n">
        <f aca="false">(G37+H37+I37)/E37</f>
        <v>0.0611964531035344</v>
      </c>
    </row>
    <row r="38" customFormat="false" ht="14.25" hidden="false" customHeight="true" outlineLevel="0" collapsed="false">
      <c r="A38" s="5" t="s">
        <v>62</v>
      </c>
      <c r="B38" s="5" t="s">
        <v>25</v>
      </c>
      <c r="C38" s="6" t="n">
        <v>45796</v>
      </c>
      <c r="D38" s="5" t="s">
        <v>26</v>
      </c>
      <c r="E38" s="7" t="n">
        <v>366792</v>
      </c>
      <c r="F38" s="7" t="n">
        <v>130891</v>
      </c>
      <c r="G38" s="7" t="n">
        <v>14527</v>
      </c>
      <c r="H38" s="7" t="n">
        <v>2483</v>
      </c>
      <c r="I38" s="7" t="n">
        <v>3148</v>
      </c>
      <c r="J38" s="8" t="n">
        <v>15.4</v>
      </c>
      <c r="K38" s="9" t="n">
        <f aca="false">(G38+H38+I38)/E38</f>
        <v>0.0549575781369277</v>
      </c>
    </row>
    <row r="39" customFormat="false" ht="14.25" hidden="false" customHeight="true" outlineLevel="0" collapsed="false">
      <c r="A39" s="5" t="s">
        <v>63</v>
      </c>
      <c r="B39" s="5" t="s">
        <v>25</v>
      </c>
      <c r="C39" s="6" t="n">
        <v>45563</v>
      </c>
      <c r="D39" s="5" t="s">
        <v>23</v>
      </c>
      <c r="E39" s="7" t="n">
        <v>326182</v>
      </c>
      <c r="F39" s="7" t="n">
        <v>168420</v>
      </c>
      <c r="G39" s="7" t="n">
        <v>17736</v>
      </c>
      <c r="H39" s="7" t="n">
        <v>4345</v>
      </c>
      <c r="I39" s="7" t="n">
        <v>7499</v>
      </c>
      <c r="J39" s="8" t="n">
        <v>17.56</v>
      </c>
      <c r="K39" s="9" t="n">
        <f aca="false">(G39+H39+I39)/E39</f>
        <v>0.0906855681797279</v>
      </c>
    </row>
    <row r="40" customFormat="false" ht="14.25" hidden="false" customHeight="true" outlineLevel="0" collapsed="false">
      <c r="A40" s="5" t="s">
        <v>64</v>
      </c>
      <c r="B40" s="5" t="s">
        <v>33</v>
      </c>
      <c r="C40" s="6" t="n">
        <v>45738</v>
      </c>
      <c r="D40" s="5" t="s">
        <v>28</v>
      </c>
      <c r="E40" s="7" t="n">
        <v>735</v>
      </c>
      <c r="F40" s="7" t="n">
        <v>520</v>
      </c>
      <c r="G40" s="7" t="n">
        <v>21</v>
      </c>
      <c r="H40" s="7" t="n">
        <v>3</v>
      </c>
      <c r="I40" s="7" t="n">
        <v>6</v>
      </c>
      <c r="J40" s="8" t="n">
        <v>5.77</v>
      </c>
      <c r="K40" s="9" t="n">
        <f aca="false">(G40+H40+I40)/E40</f>
        <v>0.0408163265306122</v>
      </c>
    </row>
    <row r="41" customFormat="false" ht="14.25" hidden="false" customHeight="true" outlineLevel="0" collapsed="false">
      <c r="A41" s="5" t="s">
        <v>65</v>
      </c>
      <c r="B41" s="5" t="s">
        <v>25</v>
      </c>
      <c r="C41" s="6" t="n">
        <v>45690</v>
      </c>
      <c r="D41" s="5" t="s">
        <v>26</v>
      </c>
      <c r="E41" s="7" t="n">
        <v>397172</v>
      </c>
      <c r="F41" s="7" t="n">
        <v>241369</v>
      </c>
      <c r="G41" s="7" t="n">
        <v>19478</v>
      </c>
      <c r="H41" s="7" t="n">
        <v>5480</v>
      </c>
      <c r="I41" s="7" t="n">
        <v>7454</v>
      </c>
      <c r="J41" s="8" t="n">
        <v>13.43</v>
      </c>
      <c r="K41" s="9" t="n">
        <f aca="false">(G41+H41+I41)/E41</f>
        <v>0.0816069612157957</v>
      </c>
    </row>
    <row r="42" customFormat="false" ht="14.25" hidden="false" customHeight="true" outlineLevel="0" collapsed="false">
      <c r="A42" s="5" t="s">
        <v>66</v>
      </c>
      <c r="B42" s="5" t="s">
        <v>22</v>
      </c>
      <c r="C42" s="6" t="n">
        <v>45660</v>
      </c>
      <c r="D42" s="5" t="s">
        <v>15</v>
      </c>
      <c r="E42" s="7" t="n">
        <v>22792</v>
      </c>
      <c r="F42" s="7" t="n">
        <v>13157</v>
      </c>
      <c r="G42" s="7" t="n">
        <v>279</v>
      </c>
      <c r="H42" s="7" t="n">
        <v>61</v>
      </c>
      <c r="I42" s="7" t="n">
        <v>86</v>
      </c>
      <c r="J42" s="8" t="n">
        <v>3.24</v>
      </c>
      <c r="K42" s="9" t="n">
        <f aca="false">(G42+H42+I42)/E42</f>
        <v>0.0186907686907687</v>
      </c>
    </row>
    <row r="43" customFormat="false" ht="14.25" hidden="false" customHeight="true" outlineLevel="0" collapsed="false">
      <c r="A43" s="5" t="s">
        <v>67</v>
      </c>
      <c r="B43" s="5" t="s">
        <v>14</v>
      </c>
      <c r="C43" s="6" t="n">
        <v>45991</v>
      </c>
      <c r="D43" s="5" t="s">
        <v>19</v>
      </c>
      <c r="E43" s="7" t="n">
        <v>22661</v>
      </c>
      <c r="F43" s="7" t="n">
        <v>9101</v>
      </c>
      <c r="G43" s="7" t="n">
        <v>303</v>
      </c>
      <c r="H43" s="7" t="n">
        <v>110</v>
      </c>
      <c r="I43" s="7" t="n">
        <v>175</v>
      </c>
      <c r="J43" s="8" t="n">
        <v>6.46</v>
      </c>
      <c r="K43" s="9" t="n">
        <f aca="false">(G43+H43+I43)/E43</f>
        <v>0.0259476633864348</v>
      </c>
    </row>
    <row r="44" customFormat="false" ht="14.25" hidden="false" customHeight="true" outlineLevel="0" collapsed="false">
      <c r="A44" s="5" t="s">
        <v>68</v>
      </c>
      <c r="B44" s="5" t="s">
        <v>14</v>
      </c>
      <c r="C44" s="6" t="n">
        <v>45965</v>
      </c>
      <c r="D44" s="5" t="s">
        <v>23</v>
      </c>
      <c r="E44" s="7" t="n">
        <v>55310</v>
      </c>
      <c r="F44" s="7" t="n">
        <v>30993</v>
      </c>
      <c r="G44" s="7" t="n">
        <v>966</v>
      </c>
      <c r="H44" s="7" t="n">
        <v>175</v>
      </c>
      <c r="I44" s="7" t="n">
        <v>514</v>
      </c>
      <c r="J44" s="8" t="n">
        <v>5.34</v>
      </c>
      <c r="K44" s="9" t="n">
        <f aca="false">(G44+H44+I44)/E44</f>
        <v>0.0299222563731694</v>
      </c>
    </row>
    <row r="45" customFormat="false" ht="14.25" hidden="false" customHeight="true" outlineLevel="0" collapsed="false">
      <c r="A45" s="5" t="s">
        <v>69</v>
      </c>
      <c r="B45" s="5" t="s">
        <v>18</v>
      </c>
      <c r="C45" s="6" t="n">
        <v>45713</v>
      </c>
      <c r="D45" s="5" t="s">
        <v>23</v>
      </c>
      <c r="E45" s="7" t="n">
        <v>105049</v>
      </c>
      <c r="F45" s="7" t="n">
        <v>62960</v>
      </c>
      <c r="G45" s="7" t="n">
        <v>3277</v>
      </c>
      <c r="H45" s="7" t="n">
        <v>753</v>
      </c>
      <c r="I45" s="7" t="n">
        <v>200</v>
      </c>
      <c r="J45" s="8" t="n">
        <v>6.72</v>
      </c>
      <c r="K45" s="9" t="n">
        <f aca="false">(G45+H45+I45)/E45</f>
        <v>0.0402669230549553</v>
      </c>
    </row>
    <row r="46" customFormat="false" ht="14.25" hidden="false" customHeight="true" outlineLevel="0" collapsed="false">
      <c r="A46" s="5" t="s">
        <v>70</v>
      </c>
      <c r="B46" s="5" t="s">
        <v>18</v>
      </c>
      <c r="C46" s="6" t="n">
        <v>45851</v>
      </c>
      <c r="D46" s="5" t="s">
        <v>23</v>
      </c>
      <c r="E46" s="7" t="n">
        <v>29553</v>
      </c>
      <c r="F46" s="7" t="n">
        <v>16717</v>
      </c>
      <c r="G46" s="7" t="n">
        <v>1298</v>
      </c>
      <c r="H46" s="7" t="n">
        <v>96</v>
      </c>
      <c r="I46" s="7" t="n">
        <v>129</v>
      </c>
      <c r="J46" s="8" t="n">
        <v>9.11</v>
      </c>
      <c r="K46" s="9" t="n">
        <f aca="false">(G46+H46+I46)/E46</f>
        <v>0.0515345311812676</v>
      </c>
    </row>
    <row r="47" customFormat="false" ht="14.25" hidden="false" customHeight="true" outlineLevel="0" collapsed="false">
      <c r="A47" s="5" t="s">
        <v>71</v>
      </c>
      <c r="B47" s="5" t="s">
        <v>22</v>
      </c>
      <c r="C47" s="6" t="n">
        <v>45588</v>
      </c>
      <c r="D47" s="5" t="s">
        <v>23</v>
      </c>
      <c r="E47" s="7" t="n">
        <v>58726</v>
      </c>
      <c r="F47" s="7" t="n">
        <v>49490</v>
      </c>
      <c r="G47" s="7" t="n">
        <v>634</v>
      </c>
      <c r="H47" s="7" t="n">
        <v>70</v>
      </c>
      <c r="I47" s="7" t="n">
        <v>706</v>
      </c>
      <c r="J47" s="8" t="n">
        <v>2.85</v>
      </c>
      <c r="K47" s="9" t="n">
        <f aca="false">(G47+H47+I47)/E47</f>
        <v>0.0240098082620986</v>
      </c>
    </row>
    <row r="48" customFormat="false" ht="14.25" hidden="false" customHeight="true" outlineLevel="0" collapsed="false">
      <c r="A48" s="5" t="s">
        <v>72</v>
      </c>
      <c r="B48" s="5" t="s">
        <v>25</v>
      </c>
      <c r="C48" s="6" t="n">
        <v>45972</v>
      </c>
      <c r="D48" s="5" t="s">
        <v>26</v>
      </c>
      <c r="E48" s="7" t="n">
        <v>117780</v>
      </c>
      <c r="F48" s="7" t="n">
        <v>53877</v>
      </c>
      <c r="G48" s="7" t="n">
        <v>4497</v>
      </c>
      <c r="H48" s="7" t="n">
        <v>412</v>
      </c>
      <c r="I48" s="7" t="n">
        <v>1324</v>
      </c>
      <c r="J48" s="8" t="n">
        <v>11.57</v>
      </c>
      <c r="K48" s="9" t="n">
        <f aca="false">(G48+H48+I48)/E48</f>
        <v>0.0529206996094413</v>
      </c>
    </row>
    <row r="49" customFormat="false" ht="14.25" hidden="false" customHeight="true" outlineLevel="0" collapsed="false">
      <c r="A49" s="5" t="s">
        <v>73</v>
      </c>
      <c r="B49" s="5" t="s">
        <v>25</v>
      </c>
      <c r="C49" s="6" t="n">
        <v>45629</v>
      </c>
      <c r="D49" s="5" t="s">
        <v>26</v>
      </c>
      <c r="E49" s="7" t="n">
        <v>457636</v>
      </c>
      <c r="F49" s="7" t="n">
        <v>222209</v>
      </c>
      <c r="G49" s="7" t="n">
        <v>17827</v>
      </c>
      <c r="H49" s="7" t="n">
        <v>2665</v>
      </c>
      <c r="I49" s="7" t="n">
        <v>9391</v>
      </c>
      <c r="J49" s="8" t="n">
        <v>13.45</v>
      </c>
      <c r="K49" s="9" t="n">
        <f aca="false">(G49+H49+I49)/E49</f>
        <v>0.0652986216119361</v>
      </c>
    </row>
    <row r="50" customFormat="false" ht="14.25" hidden="false" customHeight="true" outlineLevel="0" collapsed="false">
      <c r="A50" s="5" t="s">
        <v>74</v>
      </c>
      <c r="B50" s="5" t="s">
        <v>22</v>
      </c>
      <c r="C50" s="6" t="n">
        <v>45917</v>
      </c>
      <c r="D50" s="5" t="s">
        <v>19</v>
      </c>
      <c r="E50" s="7" t="n">
        <v>13316</v>
      </c>
      <c r="F50" s="7" t="n">
        <v>10584</v>
      </c>
      <c r="G50" s="7" t="n">
        <v>223</v>
      </c>
      <c r="H50" s="7" t="n">
        <v>53</v>
      </c>
      <c r="I50" s="7" t="n">
        <v>99</v>
      </c>
      <c r="J50" s="8" t="n">
        <v>3.54</v>
      </c>
      <c r="K50" s="9" t="n">
        <f aca="false">(G50+H50+I50)/E50</f>
        <v>0.0281616100931211</v>
      </c>
    </row>
    <row r="51" customFormat="false" ht="14.25" hidden="false" customHeight="true" outlineLevel="0" collapsed="false">
      <c r="A51" s="5" t="s">
        <v>75</v>
      </c>
      <c r="B51" s="5" t="s">
        <v>33</v>
      </c>
      <c r="C51" s="6" t="n">
        <v>45939</v>
      </c>
      <c r="D51" s="5" t="s">
        <v>19</v>
      </c>
      <c r="E51" s="7" t="n">
        <v>8646</v>
      </c>
      <c r="F51" s="7" t="n">
        <v>6027</v>
      </c>
      <c r="G51" s="7" t="n">
        <v>352</v>
      </c>
      <c r="H51" s="7" t="n">
        <v>138</v>
      </c>
      <c r="I51" s="7" t="n">
        <v>88</v>
      </c>
      <c r="J51" s="8" t="n">
        <v>9.59</v>
      </c>
      <c r="K51" s="9" t="n">
        <f aca="false">(G51+H51+I51)/E51</f>
        <v>0.066851723340273</v>
      </c>
    </row>
    <row r="52" customFormat="false" ht="14.25" hidden="false" customHeight="true" outlineLevel="0" collapsed="false">
      <c r="A52" s="5" t="s">
        <v>76</v>
      </c>
      <c r="B52" s="5" t="s">
        <v>18</v>
      </c>
      <c r="C52" s="6" t="n">
        <v>45867</v>
      </c>
      <c r="D52" s="5" t="s">
        <v>19</v>
      </c>
      <c r="E52" s="7" t="n">
        <v>13675</v>
      </c>
      <c r="F52" s="7" t="n">
        <v>7920</v>
      </c>
      <c r="G52" s="7" t="n">
        <v>168</v>
      </c>
      <c r="H52" s="7" t="n">
        <v>41</v>
      </c>
      <c r="I52" s="7" t="n">
        <v>8</v>
      </c>
      <c r="J52" s="8" t="n">
        <v>2.74</v>
      </c>
      <c r="K52" s="9" t="n">
        <f aca="false">(G52+H52+I52)/E52</f>
        <v>0.0158683729433272</v>
      </c>
    </row>
    <row r="53" customFormat="false" ht="14.25" hidden="false" customHeight="true" outlineLevel="0" collapsed="false">
      <c r="A53" s="5" t="s">
        <v>77</v>
      </c>
      <c r="B53" s="5" t="s">
        <v>22</v>
      </c>
      <c r="C53" s="6" t="n">
        <v>45445</v>
      </c>
      <c r="D53" s="5" t="s">
        <v>23</v>
      </c>
      <c r="E53" s="7" t="n">
        <v>48287</v>
      </c>
      <c r="F53" s="7" t="n">
        <v>41966</v>
      </c>
      <c r="G53" s="7" t="n">
        <v>528</v>
      </c>
      <c r="H53" s="7" t="n">
        <v>282</v>
      </c>
      <c r="I53" s="7" t="n">
        <v>724</v>
      </c>
      <c r="J53" s="8" t="n">
        <v>3.66</v>
      </c>
      <c r="K53" s="9" t="n">
        <f aca="false">(G53+H53+I53)/E53</f>
        <v>0.0317683848654917</v>
      </c>
    </row>
    <row r="54" customFormat="false" ht="14.25" hidden="false" customHeight="true" outlineLevel="0" collapsed="false">
      <c r="A54" s="5" t="s">
        <v>78</v>
      </c>
      <c r="B54" s="5" t="s">
        <v>18</v>
      </c>
      <c r="C54" s="6" t="n">
        <v>45730</v>
      </c>
      <c r="D54" s="5" t="s">
        <v>26</v>
      </c>
      <c r="E54" s="7" t="n">
        <v>117992</v>
      </c>
      <c r="F54" s="7" t="n">
        <v>57025</v>
      </c>
      <c r="G54" s="7" t="n">
        <v>2223</v>
      </c>
      <c r="H54" s="7" t="n">
        <v>246</v>
      </c>
      <c r="I54" s="7" t="n">
        <v>506</v>
      </c>
      <c r="J54" s="8" t="n">
        <v>5.22</v>
      </c>
      <c r="K54" s="9" t="n">
        <f aca="false">(G54+H54+I54)/E54</f>
        <v>0.0252135738016137</v>
      </c>
    </row>
    <row r="55" customFormat="false" ht="14.25" hidden="false" customHeight="true" outlineLevel="0" collapsed="false">
      <c r="A55" s="5" t="s">
        <v>79</v>
      </c>
      <c r="B55" s="5" t="s">
        <v>25</v>
      </c>
      <c r="C55" s="6" t="n">
        <v>45839</v>
      </c>
      <c r="D55" s="5" t="s">
        <v>26</v>
      </c>
      <c r="E55" s="7" t="n">
        <v>506642</v>
      </c>
      <c r="F55" s="7" t="n">
        <v>174546</v>
      </c>
      <c r="G55" s="7" t="n">
        <v>6615</v>
      </c>
      <c r="H55" s="7" t="n">
        <v>4959</v>
      </c>
      <c r="I55" s="7" t="n">
        <v>4706</v>
      </c>
      <c r="J55" s="8" t="n">
        <v>9.33</v>
      </c>
      <c r="K55" s="9" t="n">
        <f aca="false">(G55+H55+I55)/E55</f>
        <v>0.0321331433240829</v>
      </c>
    </row>
    <row r="56" customFormat="false" ht="14.25" hidden="false" customHeight="true" outlineLevel="0" collapsed="false">
      <c r="A56" s="5" t="s">
        <v>80</v>
      </c>
      <c r="B56" s="5" t="s">
        <v>18</v>
      </c>
      <c r="C56" s="6" t="n">
        <v>45529</v>
      </c>
      <c r="D56" s="5" t="s">
        <v>28</v>
      </c>
      <c r="E56" s="7" t="n">
        <v>69218</v>
      </c>
      <c r="F56" s="7" t="n">
        <v>32641</v>
      </c>
      <c r="G56" s="7" t="n">
        <v>2526</v>
      </c>
      <c r="H56" s="7" t="n">
        <v>238</v>
      </c>
      <c r="I56" s="7" t="n">
        <v>142</v>
      </c>
      <c r="J56" s="8" t="n">
        <v>8.9</v>
      </c>
      <c r="K56" s="9" t="n">
        <f aca="false">(G56+H56+I56)/E56</f>
        <v>0.0419832991418417</v>
      </c>
    </row>
    <row r="57" customFormat="false" ht="14.25" hidden="false" customHeight="true" outlineLevel="0" collapsed="false">
      <c r="A57" s="5" t="s">
        <v>81</v>
      </c>
      <c r="B57" s="5" t="s">
        <v>33</v>
      </c>
      <c r="C57" s="6" t="n">
        <v>45802</v>
      </c>
      <c r="D57" s="5" t="s">
        <v>28</v>
      </c>
      <c r="E57" s="7" t="n">
        <v>14531</v>
      </c>
      <c r="F57" s="7" t="n">
        <v>8760</v>
      </c>
      <c r="G57" s="7" t="n">
        <v>299</v>
      </c>
      <c r="H57" s="7" t="n">
        <v>123</v>
      </c>
      <c r="I57" s="7" t="n">
        <v>119</v>
      </c>
      <c r="J57" s="8" t="n">
        <v>6.18</v>
      </c>
      <c r="K57" s="9" t="n">
        <f aca="false">(G57+H57+I57)/E57</f>
        <v>0.0372307480558805</v>
      </c>
    </row>
    <row r="58" customFormat="false" ht="14.25" hidden="false" customHeight="true" outlineLevel="0" collapsed="false">
      <c r="A58" s="5" t="s">
        <v>82</v>
      </c>
      <c r="B58" s="5" t="s">
        <v>18</v>
      </c>
      <c r="C58" s="6" t="n">
        <v>45923</v>
      </c>
      <c r="D58" s="5" t="s">
        <v>26</v>
      </c>
      <c r="E58" s="7" t="n">
        <v>8393</v>
      </c>
      <c r="F58" s="7" t="n">
        <v>4428</v>
      </c>
      <c r="G58" s="7" t="n">
        <v>318</v>
      </c>
      <c r="H58" s="7" t="n">
        <v>23</v>
      </c>
      <c r="I58" s="7" t="n">
        <v>9</v>
      </c>
      <c r="J58" s="8" t="n">
        <v>7.9</v>
      </c>
      <c r="K58" s="9" t="n">
        <f aca="false">(G58+H58+I58)/E58</f>
        <v>0.0417014178482068</v>
      </c>
    </row>
    <row r="59" customFormat="false" ht="14.25" hidden="false" customHeight="true" outlineLevel="0" collapsed="false">
      <c r="A59" s="5" t="s">
        <v>83</v>
      </c>
      <c r="B59" s="5" t="s">
        <v>18</v>
      </c>
      <c r="C59" s="6" t="n">
        <v>45293</v>
      </c>
      <c r="D59" s="5" t="s">
        <v>28</v>
      </c>
      <c r="E59" s="7" t="n">
        <v>77758</v>
      </c>
      <c r="F59" s="7" t="n">
        <v>53039</v>
      </c>
      <c r="G59" s="7" t="n">
        <v>4006</v>
      </c>
      <c r="H59" s="7" t="n">
        <v>345</v>
      </c>
      <c r="I59" s="7" t="n">
        <v>272</v>
      </c>
      <c r="J59" s="8" t="n">
        <v>8.72</v>
      </c>
      <c r="K59" s="9" t="n">
        <f aca="false">(G59+H59+I59)/E59</f>
        <v>0.0594536896525116</v>
      </c>
    </row>
    <row r="60" customFormat="false" ht="14.25" hidden="false" customHeight="true" outlineLevel="0" collapsed="false">
      <c r="A60" s="5" t="s">
        <v>84</v>
      </c>
      <c r="B60" s="5" t="s">
        <v>22</v>
      </c>
      <c r="C60" s="6" t="n">
        <v>46006</v>
      </c>
      <c r="D60" s="5" t="s">
        <v>15</v>
      </c>
      <c r="E60" s="7" t="n">
        <v>5028</v>
      </c>
      <c r="F60" s="7" t="n">
        <v>3861</v>
      </c>
      <c r="G60" s="7" t="n">
        <v>103</v>
      </c>
      <c r="H60" s="7" t="n">
        <v>29</v>
      </c>
      <c r="I60" s="7" t="n">
        <v>12</v>
      </c>
      <c r="J60" s="8" t="n">
        <v>3.73</v>
      </c>
      <c r="K60" s="9" t="n">
        <f aca="false">(G60+H60+I60)/E60</f>
        <v>0.0286396181384248</v>
      </c>
    </row>
    <row r="61" customFormat="false" ht="14.25" hidden="false" customHeight="true" outlineLevel="0" collapsed="false">
      <c r="A61" s="5" t="s">
        <v>85</v>
      </c>
      <c r="B61" s="5" t="s">
        <v>25</v>
      </c>
      <c r="C61" s="6" t="n">
        <v>45957</v>
      </c>
      <c r="D61" s="5" t="s">
        <v>23</v>
      </c>
      <c r="E61" s="7" t="n">
        <v>168937</v>
      </c>
      <c r="F61" s="7" t="n">
        <v>114463</v>
      </c>
      <c r="G61" s="7" t="n">
        <v>9826</v>
      </c>
      <c r="H61" s="7" t="n">
        <v>1326</v>
      </c>
      <c r="I61" s="7" t="n">
        <v>4902</v>
      </c>
      <c r="J61" s="8" t="n">
        <v>14.03</v>
      </c>
      <c r="K61" s="9" t="n">
        <f aca="false">(G61+H61+I61)/E61</f>
        <v>0.0950295080414592</v>
      </c>
    </row>
    <row r="62" customFormat="false" ht="14.25" hidden="false" customHeight="true" outlineLevel="0" collapsed="false">
      <c r="A62" s="5" t="s">
        <v>86</v>
      </c>
      <c r="B62" s="5" t="s">
        <v>18</v>
      </c>
      <c r="C62" s="6" t="n">
        <v>45823</v>
      </c>
      <c r="D62" s="5" t="s">
        <v>23</v>
      </c>
      <c r="E62" s="7" t="n">
        <v>93930</v>
      </c>
      <c r="F62" s="7" t="n">
        <v>59514</v>
      </c>
      <c r="G62" s="7" t="n">
        <v>3659</v>
      </c>
      <c r="H62" s="7" t="n">
        <v>610</v>
      </c>
      <c r="I62" s="7" t="n">
        <v>342</v>
      </c>
      <c r="J62" s="8" t="n">
        <v>7.75</v>
      </c>
      <c r="K62" s="9" t="n">
        <f aca="false">(G62+H62+I62)/E62</f>
        <v>0.0490897476844459</v>
      </c>
    </row>
    <row r="63" customFormat="false" ht="14.25" hidden="false" customHeight="true" outlineLevel="0" collapsed="false">
      <c r="A63" s="5" t="s">
        <v>87</v>
      </c>
      <c r="B63" s="5" t="s">
        <v>18</v>
      </c>
      <c r="C63" s="6" t="n">
        <v>45696</v>
      </c>
      <c r="D63" s="5" t="s">
        <v>28</v>
      </c>
      <c r="E63" s="7" t="n">
        <v>5838</v>
      </c>
      <c r="F63" s="7" t="n">
        <v>4002</v>
      </c>
      <c r="G63" s="7" t="n">
        <v>204</v>
      </c>
      <c r="H63" s="7" t="n">
        <v>10</v>
      </c>
      <c r="I63" s="7" t="n">
        <v>26</v>
      </c>
      <c r="J63" s="8" t="n">
        <v>6</v>
      </c>
      <c r="K63" s="9" t="n">
        <f aca="false">(G63+H63+I63)/E63</f>
        <v>0.0411099691675231</v>
      </c>
    </row>
    <row r="64" customFormat="false" ht="14.25" hidden="false" customHeight="true" outlineLevel="0" collapsed="false">
      <c r="A64" s="5" t="s">
        <v>88</v>
      </c>
      <c r="B64" s="5" t="s">
        <v>18</v>
      </c>
      <c r="C64" s="6" t="n">
        <v>45481</v>
      </c>
      <c r="D64" s="5" t="s">
        <v>28</v>
      </c>
      <c r="E64" s="7" t="n">
        <v>37520</v>
      </c>
      <c r="F64" s="7" t="n">
        <v>22934</v>
      </c>
      <c r="G64" s="7" t="n">
        <v>1461</v>
      </c>
      <c r="H64" s="7" t="n">
        <v>213</v>
      </c>
      <c r="I64" s="7" t="n">
        <v>55</v>
      </c>
      <c r="J64" s="8" t="n">
        <v>7.54</v>
      </c>
      <c r="K64" s="9" t="n">
        <f aca="false">(G64+H64+I64)/E64</f>
        <v>0.0460820895522388</v>
      </c>
    </row>
    <row r="65" customFormat="false" ht="14.25" hidden="false" customHeight="true" outlineLevel="0" collapsed="false">
      <c r="A65" s="5" t="s">
        <v>89</v>
      </c>
      <c r="B65" s="5" t="s">
        <v>25</v>
      </c>
      <c r="C65" s="6" t="n">
        <v>45380</v>
      </c>
      <c r="D65" s="5" t="s">
        <v>26</v>
      </c>
      <c r="E65" s="7" t="n">
        <v>71516</v>
      </c>
      <c r="F65" s="7" t="n">
        <v>27664</v>
      </c>
      <c r="G65" s="7" t="n">
        <v>3172</v>
      </c>
      <c r="H65" s="7" t="n">
        <v>660</v>
      </c>
      <c r="I65" s="7" t="n">
        <v>436</v>
      </c>
      <c r="J65" s="8" t="n">
        <v>15.43</v>
      </c>
      <c r="K65" s="9" t="n">
        <f aca="false">(G65+H65+I65)/E65</f>
        <v>0.059678952961575</v>
      </c>
    </row>
    <row r="66" customFormat="false" ht="14.25" hidden="false" customHeight="true" outlineLevel="0" collapsed="false">
      <c r="A66" s="5" t="s">
        <v>90</v>
      </c>
      <c r="B66" s="5" t="s">
        <v>25</v>
      </c>
      <c r="C66" s="6" t="n">
        <v>45798</v>
      </c>
      <c r="D66" s="5" t="s">
        <v>23</v>
      </c>
      <c r="E66" s="7" t="n">
        <v>299132</v>
      </c>
      <c r="F66" s="7" t="n">
        <v>161505</v>
      </c>
      <c r="G66" s="7" t="n">
        <v>7593</v>
      </c>
      <c r="H66" s="7" t="n">
        <v>4816</v>
      </c>
      <c r="I66" s="7" t="n">
        <v>6033</v>
      </c>
      <c r="J66" s="8" t="n">
        <v>11.42</v>
      </c>
      <c r="K66" s="9" t="n">
        <f aca="false">(G66+H66+I66)/E66</f>
        <v>0.061651712287552</v>
      </c>
    </row>
    <row r="67" customFormat="false" ht="14.25" hidden="false" customHeight="true" outlineLevel="0" collapsed="false">
      <c r="A67" s="5" t="s">
        <v>91</v>
      </c>
      <c r="B67" s="5" t="s">
        <v>22</v>
      </c>
      <c r="C67" s="6" t="n">
        <v>45962</v>
      </c>
      <c r="D67" s="5" t="s">
        <v>15</v>
      </c>
      <c r="E67" s="7" t="n">
        <v>8127</v>
      </c>
      <c r="F67" s="7" t="n">
        <v>5127</v>
      </c>
      <c r="G67" s="7" t="n">
        <v>50</v>
      </c>
      <c r="H67" s="7" t="n">
        <v>10</v>
      </c>
      <c r="I67" s="7" t="n">
        <v>43</v>
      </c>
      <c r="J67" s="8" t="n">
        <v>2.01</v>
      </c>
      <c r="K67" s="9" t="n">
        <f aca="false">(G67+H67+I67)/E67</f>
        <v>0.0126738033714778</v>
      </c>
    </row>
    <row r="68" customFormat="false" ht="14.25" hidden="false" customHeight="true" outlineLevel="0" collapsed="false">
      <c r="A68" s="5" t="s">
        <v>92</v>
      </c>
      <c r="B68" s="5" t="s">
        <v>25</v>
      </c>
      <c r="C68" s="6" t="n">
        <v>45485</v>
      </c>
      <c r="D68" s="5" t="s">
        <v>23</v>
      </c>
      <c r="E68" s="7" t="n">
        <v>407702</v>
      </c>
      <c r="F68" s="7" t="n">
        <v>147642</v>
      </c>
      <c r="G68" s="7" t="n">
        <v>12661</v>
      </c>
      <c r="H68" s="7" t="n">
        <v>1316</v>
      </c>
      <c r="I68" s="7" t="n">
        <v>6009</v>
      </c>
      <c r="J68" s="8" t="n">
        <v>13.54</v>
      </c>
      <c r="K68" s="9" t="n">
        <f aca="false">(G68+H68+I68)/E68</f>
        <v>0.0490210987436903</v>
      </c>
    </row>
    <row r="69" customFormat="false" ht="14.25" hidden="false" customHeight="true" outlineLevel="0" collapsed="false">
      <c r="A69" s="5" t="s">
        <v>93</v>
      </c>
      <c r="B69" s="5" t="s">
        <v>25</v>
      </c>
      <c r="C69" s="6" t="n">
        <v>45668</v>
      </c>
      <c r="D69" s="5" t="s">
        <v>26</v>
      </c>
      <c r="E69" s="7" t="n">
        <v>535523</v>
      </c>
      <c r="F69" s="7" t="n">
        <v>341530</v>
      </c>
      <c r="G69" s="7" t="n">
        <v>38740</v>
      </c>
      <c r="H69" s="7" t="n">
        <v>3884</v>
      </c>
      <c r="I69" s="7" t="n">
        <v>4175</v>
      </c>
      <c r="J69" s="8" t="n">
        <v>13.7</v>
      </c>
      <c r="K69" s="9" t="n">
        <f aca="false">(G69+H69+I69)/E69</f>
        <v>0.0873893371526526</v>
      </c>
    </row>
    <row r="70" customFormat="false" ht="14.25" hidden="false" customHeight="true" outlineLevel="0" collapsed="false">
      <c r="A70" s="5" t="s">
        <v>94</v>
      </c>
      <c r="B70" s="5" t="s">
        <v>33</v>
      </c>
      <c r="C70" s="6" t="n">
        <v>45763</v>
      </c>
      <c r="D70" s="5" t="s">
        <v>23</v>
      </c>
      <c r="E70" s="7" t="n">
        <v>15843</v>
      </c>
      <c r="F70" s="7" t="n">
        <v>11545</v>
      </c>
      <c r="G70" s="7" t="n">
        <v>269</v>
      </c>
      <c r="H70" s="7" t="n">
        <v>263</v>
      </c>
      <c r="I70" s="7" t="n">
        <v>53</v>
      </c>
      <c r="J70" s="8" t="n">
        <v>5.07</v>
      </c>
      <c r="K70" s="9" t="n">
        <f aca="false">(G70+H70+I70)/E70</f>
        <v>0.0369248248437796</v>
      </c>
    </row>
    <row r="71" customFormat="false" ht="14.25" hidden="false" customHeight="true" outlineLevel="0" collapsed="false">
      <c r="A71" s="5" t="s">
        <v>95</v>
      </c>
      <c r="B71" s="5" t="s">
        <v>22</v>
      </c>
      <c r="C71" s="6" t="n">
        <v>45840</v>
      </c>
      <c r="D71" s="5" t="s">
        <v>19</v>
      </c>
      <c r="E71" s="7" t="n">
        <v>11965</v>
      </c>
      <c r="F71" s="7" t="n">
        <v>10699</v>
      </c>
      <c r="G71" s="7" t="n">
        <v>275</v>
      </c>
      <c r="H71" s="7" t="n">
        <v>46</v>
      </c>
      <c r="I71" s="7" t="n">
        <v>197</v>
      </c>
      <c r="J71" s="8" t="n">
        <v>4.84</v>
      </c>
      <c r="K71" s="9" t="n">
        <f aca="false">(G71+H71+I71)/E71</f>
        <v>0.0432929377350606</v>
      </c>
    </row>
    <row r="72" customFormat="false" ht="14.25" hidden="false" customHeight="true" outlineLevel="0" collapsed="false">
      <c r="A72" s="5" t="s">
        <v>96</v>
      </c>
      <c r="B72" s="5" t="s">
        <v>33</v>
      </c>
      <c r="C72" s="6" t="n">
        <v>45753</v>
      </c>
      <c r="D72" s="5" t="s">
        <v>15</v>
      </c>
      <c r="E72" s="7" t="n">
        <v>11571</v>
      </c>
      <c r="F72" s="7" t="n">
        <v>6047</v>
      </c>
      <c r="G72" s="7" t="n">
        <v>288</v>
      </c>
      <c r="H72" s="7" t="n">
        <v>49</v>
      </c>
      <c r="I72" s="7" t="n">
        <v>37</v>
      </c>
      <c r="J72" s="8" t="n">
        <v>6.18</v>
      </c>
      <c r="K72" s="9" t="n">
        <f aca="false">(G72+H72+I72)/E72</f>
        <v>0.0323221847722755</v>
      </c>
    </row>
    <row r="73" customFormat="false" ht="14.25" hidden="false" customHeight="true" outlineLevel="0" collapsed="false">
      <c r="A73" s="5" t="s">
        <v>97</v>
      </c>
      <c r="B73" s="5" t="s">
        <v>14</v>
      </c>
      <c r="C73" s="6" t="n">
        <v>45621</v>
      </c>
      <c r="D73" s="5" t="s">
        <v>23</v>
      </c>
      <c r="E73" s="7" t="n">
        <v>15181</v>
      </c>
      <c r="F73" s="7" t="n">
        <v>6189</v>
      </c>
      <c r="G73" s="7" t="n">
        <v>90</v>
      </c>
      <c r="H73" s="7" t="n">
        <v>103</v>
      </c>
      <c r="I73" s="7" t="n">
        <v>156</v>
      </c>
      <c r="J73" s="8" t="n">
        <v>5.64</v>
      </c>
      <c r="K73" s="9" t="n">
        <f aca="false">(G73+H73+I73)/E73</f>
        <v>0.0229892628944075</v>
      </c>
    </row>
    <row r="74" customFormat="false" ht="14.25" hidden="false" customHeight="true" outlineLevel="0" collapsed="false">
      <c r="A74" s="5" t="s">
        <v>98</v>
      </c>
      <c r="B74" s="5" t="s">
        <v>14</v>
      </c>
      <c r="C74" s="6" t="n">
        <v>45320</v>
      </c>
      <c r="D74" s="5" t="s">
        <v>28</v>
      </c>
      <c r="E74" s="7" t="n">
        <v>5673</v>
      </c>
      <c r="F74" s="7" t="n">
        <v>3035</v>
      </c>
      <c r="G74" s="7" t="n">
        <v>54</v>
      </c>
      <c r="H74" s="7" t="n">
        <v>12</v>
      </c>
      <c r="I74" s="7" t="n">
        <v>27</v>
      </c>
      <c r="J74" s="8" t="n">
        <v>3.06</v>
      </c>
      <c r="K74" s="9" t="n">
        <f aca="false">(G74+H74+I74)/E74</f>
        <v>0.0163934426229508</v>
      </c>
    </row>
    <row r="75" customFormat="false" ht="14.25" hidden="false" customHeight="true" outlineLevel="0" collapsed="false">
      <c r="A75" s="5" t="s">
        <v>99</v>
      </c>
      <c r="B75" s="5" t="s">
        <v>25</v>
      </c>
      <c r="C75" s="6" t="n">
        <v>45561</v>
      </c>
      <c r="D75" s="5" t="s">
        <v>26</v>
      </c>
      <c r="E75" s="7" t="n">
        <v>262599</v>
      </c>
      <c r="F75" s="7" t="n">
        <v>95367</v>
      </c>
      <c r="G75" s="7" t="n">
        <v>6417</v>
      </c>
      <c r="H75" s="7" t="n">
        <v>2040</v>
      </c>
      <c r="I75" s="7" t="n">
        <v>4153</v>
      </c>
      <c r="J75" s="8" t="n">
        <v>13.22</v>
      </c>
      <c r="K75" s="9" t="n">
        <f aca="false">(G75+H75+I75)/E75</f>
        <v>0.0480199848438113</v>
      </c>
    </row>
    <row r="76" customFormat="false" ht="14.25" hidden="false" customHeight="true" outlineLevel="0" collapsed="false">
      <c r="A76" s="5" t="s">
        <v>100</v>
      </c>
      <c r="B76" s="5" t="s">
        <v>22</v>
      </c>
      <c r="C76" s="6" t="n">
        <v>45542</v>
      </c>
      <c r="D76" s="5" t="s">
        <v>19</v>
      </c>
      <c r="E76" s="7" t="n">
        <v>12143</v>
      </c>
      <c r="F76" s="7" t="n">
        <v>9572</v>
      </c>
      <c r="G76" s="7" t="n">
        <v>258</v>
      </c>
      <c r="H76" s="7" t="n">
        <v>64</v>
      </c>
      <c r="I76" s="7" t="n">
        <v>64</v>
      </c>
      <c r="J76" s="8" t="n">
        <v>4.03</v>
      </c>
      <c r="K76" s="9" t="n">
        <f aca="false">(G76+H76+I76)/E76</f>
        <v>0.0317878613192786</v>
      </c>
    </row>
    <row r="77" customFormat="false" ht="14.25" hidden="false" customHeight="true" outlineLevel="0" collapsed="false">
      <c r="A77" s="5" t="s">
        <v>101</v>
      </c>
      <c r="B77" s="5" t="s">
        <v>25</v>
      </c>
      <c r="C77" s="6" t="n">
        <v>45538</v>
      </c>
      <c r="D77" s="5" t="s">
        <v>26</v>
      </c>
      <c r="E77" s="7" t="n">
        <v>358986</v>
      </c>
      <c r="F77" s="7" t="n">
        <v>121792</v>
      </c>
      <c r="G77" s="7" t="n">
        <v>12616</v>
      </c>
      <c r="H77" s="7" t="n">
        <v>1536</v>
      </c>
      <c r="I77" s="7" t="n">
        <v>3892</v>
      </c>
      <c r="J77" s="8" t="n">
        <v>14.82</v>
      </c>
      <c r="K77" s="9" t="n">
        <f aca="false">(G77+H77+I77)/E77</f>
        <v>0.0502637985882458</v>
      </c>
    </row>
    <row r="78" customFormat="false" ht="14.25" hidden="false" customHeight="true" outlineLevel="0" collapsed="false">
      <c r="A78" s="5" t="s">
        <v>102</v>
      </c>
      <c r="B78" s="5" t="s">
        <v>14</v>
      </c>
      <c r="C78" s="6" t="n">
        <v>45392</v>
      </c>
      <c r="D78" s="5" t="s">
        <v>19</v>
      </c>
      <c r="E78" s="7" t="n">
        <v>12649</v>
      </c>
      <c r="F78" s="7" t="n">
        <v>4990</v>
      </c>
      <c r="G78" s="7" t="n">
        <v>212</v>
      </c>
      <c r="H78" s="7" t="n">
        <v>24</v>
      </c>
      <c r="I78" s="7" t="n">
        <v>37</v>
      </c>
      <c r="J78" s="8" t="n">
        <v>5.47</v>
      </c>
      <c r="K78" s="9" t="n">
        <f aca="false">(G78+H78+I78)/E78</f>
        <v>0.0215827338129496</v>
      </c>
    </row>
    <row r="79" customFormat="false" ht="14.25" hidden="false" customHeight="true" outlineLevel="0" collapsed="false">
      <c r="A79" s="5" t="s">
        <v>103</v>
      </c>
      <c r="B79" s="5" t="s">
        <v>18</v>
      </c>
      <c r="C79" s="6" t="n">
        <v>45748</v>
      </c>
      <c r="D79" s="5" t="s">
        <v>26</v>
      </c>
      <c r="E79" s="7" t="n">
        <v>92618</v>
      </c>
      <c r="F79" s="7" t="n">
        <v>58170</v>
      </c>
      <c r="G79" s="7" t="n">
        <v>4526</v>
      </c>
      <c r="H79" s="7" t="n">
        <v>868</v>
      </c>
      <c r="I79" s="7" t="n">
        <v>347</v>
      </c>
      <c r="J79" s="8" t="n">
        <v>9.87</v>
      </c>
      <c r="K79" s="9" t="n">
        <f aca="false">(G79+H79+I79)/E79</f>
        <v>0.0619857910989225</v>
      </c>
    </row>
    <row r="80" customFormat="false" ht="14.25" hidden="false" customHeight="true" outlineLevel="0" collapsed="false">
      <c r="A80" s="5" t="s">
        <v>104</v>
      </c>
      <c r="B80" s="5" t="s">
        <v>22</v>
      </c>
      <c r="C80" s="6" t="n">
        <v>45454</v>
      </c>
      <c r="D80" s="5" t="s">
        <v>23</v>
      </c>
      <c r="E80" s="7" t="n">
        <v>49374</v>
      </c>
      <c r="F80" s="7" t="n">
        <v>41354</v>
      </c>
      <c r="G80" s="7" t="n">
        <v>251</v>
      </c>
      <c r="H80" s="7" t="n">
        <v>250</v>
      </c>
      <c r="I80" s="7" t="n">
        <v>595</v>
      </c>
      <c r="J80" s="8" t="n">
        <v>2.65</v>
      </c>
      <c r="K80" s="9" t="n">
        <f aca="false">(G80+H80+I80)/E80</f>
        <v>0.0221979179325151</v>
      </c>
    </row>
    <row r="81" customFormat="false" ht="14.25" hidden="false" customHeight="true" outlineLevel="0" collapsed="false">
      <c r="A81" s="5" t="s">
        <v>105</v>
      </c>
      <c r="B81" s="5" t="s">
        <v>33</v>
      </c>
      <c r="C81" s="6" t="n">
        <v>45680</v>
      </c>
      <c r="D81" s="5" t="s">
        <v>23</v>
      </c>
      <c r="E81" s="7" t="n">
        <v>36161</v>
      </c>
      <c r="F81" s="7" t="n">
        <v>22731</v>
      </c>
      <c r="G81" s="7" t="n">
        <v>1346</v>
      </c>
      <c r="H81" s="7" t="n">
        <v>473</v>
      </c>
      <c r="I81" s="7" t="n">
        <v>253</v>
      </c>
      <c r="J81" s="8" t="n">
        <v>9.12</v>
      </c>
      <c r="K81" s="9" t="n">
        <f aca="false">(G81+H81+I81)/E81</f>
        <v>0.0572993003512071</v>
      </c>
    </row>
    <row r="82" customFormat="false" ht="14.25" hidden="false" customHeight="true" outlineLevel="0" collapsed="false">
      <c r="A82" s="5" t="s">
        <v>106</v>
      </c>
      <c r="B82" s="5" t="s">
        <v>22</v>
      </c>
      <c r="C82" s="6" t="n">
        <v>45308</v>
      </c>
      <c r="D82" s="5" t="s">
        <v>23</v>
      </c>
      <c r="E82" s="7" t="n">
        <v>70967</v>
      </c>
      <c r="F82" s="7" t="n">
        <v>61447</v>
      </c>
      <c r="G82" s="7" t="n">
        <v>1623</v>
      </c>
      <c r="H82" s="7" t="n">
        <v>138</v>
      </c>
      <c r="I82" s="7" t="n">
        <v>1036</v>
      </c>
      <c r="J82" s="8" t="n">
        <v>4.55</v>
      </c>
      <c r="K82" s="9" t="n">
        <f aca="false">(G82+H82+I82)/E82</f>
        <v>0.0394126847689771</v>
      </c>
    </row>
    <row r="83" customFormat="false" ht="14.25" hidden="false" customHeight="true" outlineLevel="0" collapsed="false">
      <c r="A83" s="5" t="s">
        <v>107</v>
      </c>
      <c r="B83" s="5" t="s">
        <v>14</v>
      </c>
      <c r="C83" s="6" t="n">
        <v>45740</v>
      </c>
      <c r="D83" s="5" t="s">
        <v>19</v>
      </c>
      <c r="E83" s="7" t="n">
        <v>21460</v>
      </c>
      <c r="F83" s="7" t="n">
        <v>12765</v>
      </c>
      <c r="G83" s="7" t="n">
        <v>573</v>
      </c>
      <c r="H83" s="7" t="n">
        <v>242</v>
      </c>
      <c r="I83" s="7" t="n">
        <v>64</v>
      </c>
      <c r="J83" s="8" t="n">
        <v>6.89</v>
      </c>
      <c r="K83" s="9" t="n">
        <f aca="false">(G83+H83+I83)/E83</f>
        <v>0.0409599254426841</v>
      </c>
    </row>
    <row r="84" customFormat="false" ht="14.25" hidden="false" customHeight="true" outlineLevel="0" collapsed="false">
      <c r="A84" s="5" t="s">
        <v>108</v>
      </c>
      <c r="B84" s="5" t="s">
        <v>14</v>
      </c>
      <c r="C84" s="6" t="n">
        <v>45713</v>
      </c>
      <c r="D84" s="5" t="s">
        <v>23</v>
      </c>
      <c r="E84" s="7" t="n">
        <v>50767</v>
      </c>
      <c r="F84" s="7" t="n">
        <v>17586</v>
      </c>
      <c r="G84" s="7" t="n">
        <v>337</v>
      </c>
      <c r="H84" s="7" t="n">
        <v>281</v>
      </c>
      <c r="I84" s="7" t="n">
        <v>435</v>
      </c>
      <c r="J84" s="8" t="n">
        <v>5.99</v>
      </c>
      <c r="K84" s="9" t="n">
        <f aca="false">(G84+H84+I84)/E84</f>
        <v>0.0207418204739299</v>
      </c>
    </row>
    <row r="85" customFormat="false" ht="14.25" hidden="false" customHeight="true" outlineLevel="0" collapsed="false">
      <c r="A85" s="5" t="s">
        <v>109</v>
      </c>
      <c r="B85" s="5" t="s">
        <v>33</v>
      </c>
      <c r="C85" s="6" t="n">
        <v>45523</v>
      </c>
      <c r="D85" s="5" t="s">
        <v>28</v>
      </c>
      <c r="E85" s="7" t="n">
        <v>9624</v>
      </c>
      <c r="F85" s="7" t="n">
        <v>6496</v>
      </c>
      <c r="G85" s="7" t="n">
        <v>165</v>
      </c>
      <c r="H85" s="7" t="n">
        <v>56</v>
      </c>
      <c r="I85" s="7" t="n">
        <v>58</v>
      </c>
      <c r="J85" s="8" t="n">
        <v>4.29</v>
      </c>
      <c r="K85" s="9" t="n">
        <f aca="false">(G85+H85+I85)/E85</f>
        <v>0.0289900249376559</v>
      </c>
    </row>
    <row r="86" customFormat="false" ht="14.25" hidden="false" customHeight="true" outlineLevel="0" collapsed="false">
      <c r="A86" s="5" t="s">
        <v>110</v>
      </c>
      <c r="B86" s="5" t="s">
        <v>22</v>
      </c>
      <c r="C86" s="6" t="n">
        <v>45635</v>
      </c>
      <c r="D86" s="5" t="s">
        <v>23</v>
      </c>
      <c r="E86" s="7" t="n">
        <v>50240</v>
      </c>
      <c r="F86" s="7" t="n">
        <v>38491</v>
      </c>
      <c r="G86" s="7" t="n">
        <v>836</v>
      </c>
      <c r="H86" s="7" t="n">
        <v>168</v>
      </c>
      <c r="I86" s="7" t="n">
        <v>463</v>
      </c>
      <c r="J86" s="8" t="n">
        <v>3.81</v>
      </c>
      <c r="K86" s="9" t="n">
        <f aca="false">(G86+H86+I86)/E86</f>
        <v>0.0291998407643312</v>
      </c>
    </row>
    <row r="87" customFormat="false" ht="14.25" hidden="false" customHeight="true" outlineLevel="0" collapsed="false">
      <c r="A87" s="5" t="s">
        <v>111</v>
      </c>
      <c r="B87" s="5" t="s">
        <v>18</v>
      </c>
      <c r="C87" s="6" t="n">
        <v>45450</v>
      </c>
      <c r="D87" s="5" t="s">
        <v>19</v>
      </c>
      <c r="E87" s="7" t="n">
        <v>17356</v>
      </c>
      <c r="F87" s="7" t="n">
        <v>10644</v>
      </c>
      <c r="G87" s="7" t="n">
        <v>477</v>
      </c>
      <c r="H87" s="7" t="n">
        <v>126</v>
      </c>
      <c r="I87" s="7" t="n">
        <v>65</v>
      </c>
      <c r="J87" s="8" t="n">
        <v>6.28</v>
      </c>
      <c r="K87" s="9" t="n">
        <f aca="false">(G87+H87+I87)/E87</f>
        <v>0.0384881309057386</v>
      </c>
    </row>
    <row r="88" customFormat="false" ht="14.25" hidden="false" customHeight="true" outlineLevel="0" collapsed="false">
      <c r="A88" s="5" t="s">
        <v>112</v>
      </c>
      <c r="B88" s="5" t="s">
        <v>33</v>
      </c>
      <c r="C88" s="6" t="n">
        <v>45524</v>
      </c>
      <c r="D88" s="5" t="s">
        <v>15</v>
      </c>
      <c r="E88" s="7" t="n">
        <v>5440</v>
      </c>
      <c r="F88" s="7" t="n">
        <v>4035</v>
      </c>
      <c r="G88" s="7" t="n">
        <v>103</v>
      </c>
      <c r="H88" s="7" t="n">
        <v>98</v>
      </c>
      <c r="I88" s="7" t="n">
        <v>34</v>
      </c>
      <c r="J88" s="8" t="n">
        <v>5.82</v>
      </c>
      <c r="K88" s="9" t="n">
        <f aca="false">(G88+H88+I88)/E88</f>
        <v>0.0431985294117647</v>
      </c>
    </row>
    <row r="89" customFormat="false" ht="14.25" hidden="false" customHeight="true" outlineLevel="0" collapsed="false">
      <c r="A89" s="5" t="s">
        <v>113</v>
      </c>
      <c r="B89" s="5" t="s">
        <v>18</v>
      </c>
      <c r="C89" s="6" t="n">
        <v>45379</v>
      </c>
      <c r="D89" s="5" t="s">
        <v>28</v>
      </c>
      <c r="E89" s="7" t="n">
        <v>68920</v>
      </c>
      <c r="F89" s="7" t="n">
        <v>34748</v>
      </c>
      <c r="G89" s="7" t="n">
        <v>2339</v>
      </c>
      <c r="H89" s="7" t="n">
        <v>434</v>
      </c>
      <c r="I89" s="7" t="n">
        <v>36</v>
      </c>
      <c r="J89" s="8" t="n">
        <v>8.08</v>
      </c>
      <c r="K89" s="9" t="n">
        <f aca="false">(G89+H89+I89)/E89</f>
        <v>0.0407573998839234</v>
      </c>
    </row>
    <row r="90" customFormat="false" ht="14.25" hidden="false" customHeight="true" outlineLevel="0" collapsed="false">
      <c r="A90" s="5" t="s">
        <v>114</v>
      </c>
      <c r="B90" s="5" t="s">
        <v>33</v>
      </c>
      <c r="C90" s="6" t="n">
        <v>45517</v>
      </c>
      <c r="D90" s="5" t="s">
        <v>15</v>
      </c>
      <c r="E90" s="7" t="n">
        <v>19972</v>
      </c>
      <c r="F90" s="7" t="n">
        <v>13031</v>
      </c>
      <c r="G90" s="7" t="n">
        <v>383</v>
      </c>
      <c r="H90" s="7" t="n">
        <v>276</v>
      </c>
      <c r="I90" s="7" t="n">
        <v>135</v>
      </c>
      <c r="J90" s="8" t="n">
        <v>6.09</v>
      </c>
      <c r="K90" s="9" t="n">
        <f aca="false">(G90+H90+I90)/E90</f>
        <v>0.0397556579210895</v>
      </c>
    </row>
    <row r="91" customFormat="false" ht="14.25" hidden="false" customHeight="true" outlineLevel="0" collapsed="false">
      <c r="A91" s="5" t="s">
        <v>115</v>
      </c>
      <c r="B91" s="5" t="s">
        <v>25</v>
      </c>
      <c r="C91" s="6" t="n">
        <v>45438</v>
      </c>
      <c r="D91" s="5" t="s">
        <v>23</v>
      </c>
      <c r="E91" s="7" t="n">
        <v>108139</v>
      </c>
      <c r="F91" s="7" t="n">
        <v>43173</v>
      </c>
      <c r="G91" s="7" t="n">
        <v>3561</v>
      </c>
      <c r="H91" s="7" t="n">
        <v>848</v>
      </c>
      <c r="I91" s="7" t="n">
        <v>1411</v>
      </c>
      <c r="J91" s="8" t="n">
        <v>13.48</v>
      </c>
      <c r="K91" s="9" t="n">
        <f aca="false">(G91+H91+I91)/E91</f>
        <v>0.0538196210432869</v>
      </c>
    </row>
    <row r="92" customFormat="false" ht="14.25" hidden="false" customHeight="true" outlineLevel="0" collapsed="false">
      <c r="A92" s="5" t="s">
        <v>116</v>
      </c>
      <c r="B92" s="5" t="s">
        <v>22</v>
      </c>
      <c r="C92" s="6" t="n">
        <v>45584</v>
      </c>
      <c r="D92" s="5" t="s">
        <v>19</v>
      </c>
      <c r="E92" s="7" t="n">
        <v>22108</v>
      </c>
      <c r="F92" s="7" t="n">
        <v>18514</v>
      </c>
      <c r="G92" s="7" t="n">
        <v>138</v>
      </c>
      <c r="H92" s="7" t="n">
        <v>80</v>
      </c>
      <c r="I92" s="7" t="n">
        <v>329</v>
      </c>
      <c r="J92" s="8" t="n">
        <v>2.95</v>
      </c>
      <c r="K92" s="9" t="n">
        <f aca="false">(G92+H92+I92)/E92</f>
        <v>0.0247421747783608</v>
      </c>
    </row>
    <row r="93" customFormat="false" ht="14.25" hidden="false" customHeight="true" outlineLevel="0" collapsed="false">
      <c r="A93" s="5" t="s">
        <v>117</v>
      </c>
      <c r="B93" s="5" t="s">
        <v>14</v>
      </c>
      <c r="C93" s="6" t="n">
        <v>45459</v>
      </c>
      <c r="D93" s="5" t="s">
        <v>15</v>
      </c>
      <c r="E93" s="7" t="n">
        <v>16372</v>
      </c>
      <c r="F93" s="7" t="n">
        <v>9996</v>
      </c>
      <c r="G93" s="7" t="n">
        <v>372</v>
      </c>
      <c r="H93" s="7" t="n">
        <v>58</v>
      </c>
      <c r="I93" s="7" t="n">
        <v>61</v>
      </c>
      <c r="J93" s="8" t="n">
        <v>4.91</v>
      </c>
      <c r="K93" s="9" t="n">
        <f aca="false">(G93+H93+I93)/E93</f>
        <v>0.0299902272172001</v>
      </c>
    </row>
    <row r="94" customFormat="false" ht="14.25" hidden="false" customHeight="true" outlineLevel="0" collapsed="false">
      <c r="A94" s="5" t="s">
        <v>118</v>
      </c>
      <c r="B94" s="5" t="s">
        <v>18</v>
      </c>
      <c r="C94" s="6" t="n">
        <v>45806</v>
      </c>
      <c r="D94" s="5" t="s">
        <v>23</v>
      </c>
      <c r="E94" s="7" t="n">
        <v>108397</v>
      </c>
      <c r="F94" s="7" t="n">
        <v>45181</v>
      </c>
      <c r="G94" s="7" t="n">
        <v>2296</v>
      </c>
      <c r="H94" s="7" t="n">
        <v>626</v>
      </c>
      <c r="I94" s="7" t="n">
        <v>421</v>
      </c>
      <c r="J94" s="8" t="n">
        <v>7.4</v>
      </c>
      <c r="K94" s="9" t="n">
        <f aca="false">(G94+H94+I94)/E94</f>
        <v>0.0308403369096931</v>
      </c>
    </row>
    <row r="95" customFormat="false" ht="14.25" hidden="false" customHeight="true" outlineLevel="0" collapsed="false">
      <c r="A95" s="5" t="s">
        <v>119</v>
      </c>
      <c r="B95" s="5" t="s">
        <v>33</v>
      </c>
      <c r="C95" s="6" t="n">
        <v>45548</v>
      </c>
      <c r="D95" s="5" t="s">
        <v>19</v>
      </c>
      <c r="E95" s="7" t="n">
        <v>16567</v>
      </c>
      <c r="F95" s="7" t="n">
        <v>12618</v>
      </c>
      <c r="G95" s="7" t="n">
        <v>349</v>
      </c>
      <c r="H95" s="7" t="n">
        <v>104</v>
      </c>
      <c r="I95" s="7" t="n">
        <v>139</v>
      </c>
      <c r="J95" s="8" t="n">
        <v>4.69</v>
      </c>
      <c r="K95" s="9" t="n">
        <f aca="false">(G95+H95+I95)/E95</f>
        <v>0.0357336874509567</v>
      </c>
    </row>
    <row r="96" customFormat="false" ht="14.25" hidden="false" customHeight="true" outlineLevel="0" collapsed="false">
      <c r="A96" s="5" t="s">
        <v>120</v>
      </c>
      <c r="B96" s="5" t="s">
        <v>25</v>
      </c>
      <c r="C96" s="6" t="n">
        <v>45563</v>
      </c>
      <c r="D96" s="5" t="s">
        <v>26</v>
      </c>
      <c r="E96" s="7" t="n">
        <v>96621</v>
      </c>
      <c r="F96" s="7" t="n">
        <v>45052</v>
      </c>
      <c r="G96" s="7" t="n">
        <v>4307</v>
      </c>
      <c r="H96" s="7" t="n">
        <v>1057</v>
      </c>
      <c r="I96" s="7" t="n">
        <v>849</v>
      </c>
      <c r="J96" s="8" t="n">
        <v>13.79</v>
      </c>
      <c r="K96" s="9" t="n">
        <f aca="false">(G96+H96+I96)/E96</f>
        <v>0.0643027913186574</v>
      </c>
    </row>
    <row r="97" customFormat="false" ht="14.25" hidden="false" customHeight="true" outlineLevel="0" collapsed="false">
      <c r="A97" s="5" t="s">
        <v>121</v>
      </c>
      <c r="B97" s="5" t="s">
        <v>25</v>
      </c>
      <c r="C97" s="6" t="n">
        <v>45358</v>
      </c>
      <c r="D97" s="5" t="s">
        <v>23</v>
      </c>
      <c r="E97" s="7" t="n">
        <v>296961</v>
      </c>
      <c r="F97" s="7" t="n">
        <v>112674</v>
      </c>
      <c r="G97" s="7" t="n">
        <v>12300</v>
      </c>
      <c r="H97" s="7" t="n">
        <v>3354</v>
      </c>
      <c r="I97" s="7" t="n">
        <v>3770</v>
      </c>
      <c r="J97" s="8" t="n">
        <v>17.24</v>
      </c>
      <c r="K97" s="9" t="n">
        <f aca="false">(G97+H97+I97)/E97</f>
        <v>0.0654092624957486</v>
      </c>
    </row>
    <row r="98" customFormat="false" ht="14.25" hidden="false" customHeight="true" outlineLevel="0" collapsed="false">
      <c r="A98" s="5" t="s">
        <v>122</v>
      </c>
      <c r="B98" s="5" t="s">
        <v>25</v>
      </c>
      <c r="C98" s="6" t="n">
        <v>45844</v>
      </c>
      <c r="D98" s="5" t="s">
        <v>23</v>
      </c>
      <c r="E98" s="7" t="n">
        <v>119866</v>
      </c>
      <c r="F98" s="7" t="n">
        <v>69857</v>
      </c>
      <c r="G98" s="7" t="n">
        <v>6445</v>
      </c>
      <c r="H98" s="7" t="n">
        <v>892</v>
      </c>
      <c r="I98" s="7" t="n">
        <v>919</v>
      </c>
      <c r="J98" s="8" t="n">
        <v>11.82</v>
      </c>
      <c r="K98" s="9" t="n">
        <f aca="false">(G98+H98+I98)/E98</f>
        <v>0.0688769125523501</v>
      </c>
    </row>
    <row r="99" customFormat="false" ht="14.25" hidden="false" customHeight="true" outlineLevel="0" collapsed="false">
      <c r="A99" s="5" t="s">
        <v>123</v>
      </c>
      <c r="B99" s="5" t="s">
        <v>18</v>
      </c>
      <c r="C99" s="6" t="n">
        <v>45615</v>
      </c>
      <c r="D99" s="5" t="s">
        <v>19</v>
      </c>
      <c r="E99" s="7" t="n">
        <v>33648</v>
      </c>
      <c r="F99" s="7" t="n">
        <v>13791</v>
      </c>
      <c r="G99" s="7" t="n">
        <v>1062</v>
      </c>
      <c r="H99" s="7" t="n">
        <v>30</v>
      </c>
      <c r="I99" s="7" t="n">
        <v>110</v>
      </c>
      <c r="J99" s="8" t="n">
        <v>8.72</v>
      </c>
      <c r="K99" s="9" t="n">
        <f aca="false">(G99+H99+I99)/E99</f>
        <v>0.0357227769852592</v>
      </c>
    </row>
    <row r="100" customFormat="false" ht="14.25" hidden="false" customHeight="true" outlineLevel="0" collapsed="false">
      <c r="A100" s="5" t="s">
        <v>124</v>
      </c>
      <c r="B100" s="5" t="s">
        <v>18</v>
      </c>
      <c r="C100" s="6" t="n">
        <v>45637</v>
      </c>
      <c r="D100" s="5" t="s">
        <v>23</v>
      </c>
      <c r="E100" s="7" t="n">
        <v>77225</v>
      </c>
      <c r="F100" s="7" t="n">
        <v>48408</v>
      </c>
      <c r="G100" s="7" t="n">
        <v>1691</v>
      </c>
      <c r="H100" s="7" t="n">
        <v>561</v>
      </c>
      <c r="I100" s="7" t="n">
        <v>407</v>
      </c>
      <c r="J100" s="8" t="n">
        <v>5.49</v>
      </c>
      <c r="K100" s="9" t="n">
        <f aca="false">(G100+H100+I100)/E100</f>
        <v>0.0344318549692457</v>
      </c>
    </row>
    <row r="101" customFormat="false" ht="14.25" hidden="false" customHeight="true" outlineLevel="0" collapsed="false">
      <c r="A101" s="5" t="s">
        <v>125</v>
      </c>
      <c r="B101" s="5" t="s">
        <v>22</v>
      </c>
      <c r="C101" s="6" t="n">
        <v>45309</v>
      </c>
      <c r="D101" s="5" t="s">
        <v>19</v>
      </c>
      <c r="E101" s="7" t="n">
        <v>730</v>
      </c>
      <c r="F101" s="7" t="n">
        <v>373</v>
      </c>
      <c r="G101" s="7" t="n">
        <v>10</v>
      </c>
      <c r="H101" s="7" t="n">
        <v>1</v>
      </c>
      <c r="I101" s="7" t="n">
        <v>6</v>
      </c>
      <c r="J101" s="8" t="n">
        <v>4.56</v>
      </c>
      <c r="K101" s="9" t="n">
        <f aca="false">(G101+H101+I101)/E101</f>
        <v>0.0232876712328767</v>
      </c>
    </row>
    <row r="102" customFormat="false" ht="14.25" hidden="false" customHeight="true" outlineLevel="0" collapsed="false">
      <c r="A102" s="5" t="s">
        <v>126</v>
      </c>
      <c r="B102" s="5" t="s">
        <v>25</v>
      </c>
      <c r="C102" s="6" t="n">
        <v>45538</v>
      </c>
      <c r="D102" s="5" t="s">
        <v>23</v>
      </c>
      <c r="E102" s="7" t="n">
        <v>302206</v>
      </c>
      <c r="F102" s="7" t="n">
        <v>106795</v>
      </c>
      <c r="G102" s="7" t="n">
        <v>4379</v>
      </c>
      <c r="H102" s="7" t="n">
        <v>816</v>
      </c>
      <c r="I102" s="7" t="n">
        <v>3171</v>
      </c>
      <c r="J102" s="8" t="n">
        <v>7.83</v>
      </c>
      <c r="K102" s="9" t="n">
        <f aca="false">(G102+H102+I102)/E102</f>
        <v>0.0276831035783538</v>
      </c>
    </row>
    <row r="103" customFormat="false" ht="14.25" hidden="false" customHeight="true" outlineLevel="0" collapsed="false">
      <c r="A103" s="5" t="s">
        <v>127</v>
      </c>
      <c r="B103" s="5" t="s">
        <v>25</v>
      </c>
      <c r="C103" s="6" t="n">
        <v>45768</v>
      </c>
      <c r="D103" s="5" t="s">
        <v>23</v>
      </c>
      <c r="E103" s="7" t="n">
        <v>543651</v>
      </c>
      <c r="F103" s="7" t="n">
        <v>205850</v>
      </c>
      <c r="G103" s="7" t="n">
        <v>6711</v>
      </c>
      <c r="H103" s="7" t="n">
        <v>4743</v>
      </c>
      <c r="I103" s="7" t="n">
        <v>10070</v>
      </c>
      <c r="J103" s="8" t="n">
        <v>10.46</v>
      </c>
      <c r="K103" s="9" t="n">
        <f aca="false">(G103+H103+I103)/E103</f>
        <v>0.0395915762134163</v>
      </c>
    </row>
    <row r="104" customFormat="false" ht="14.25" hidden="false" customHeight="true" outlineLevel="0" collapsed="false">
      <c r="A104" s="5" t="s">
        <v>128</v>
      </c>
      <c r="B104" s="5" t="s">
        <v>33</v>
      </c>
      <c r="C104" s="6" t="n">
        <v>45838</v>
      </c>
      <c r="D104" s="5" t="s">
        <v>19</v>
      </c>
      <c r="E104" s="7" t="n">
        <v>11879</v>
      </c>
      <c r="F104" s="7" t="n">
        <v>5122</v>
      </c>
      <c r="G104" s="7" t="n">
        <v>249</v>
      </c>
      <c r="H104" s="7" t="n">
        <v>90</v>
      </c>
      <c r="I104" s="7" t="n">
        <v>30</v>
      </c>
      <c r="J104" s="8" t="n">
        <v>7.2</v>
      </c>
      <c r="K104" s="9" t="n">
        <f aca="false">(G104+H104+I104)/E104</f>
        <v>0.0310632208098325</v>
      </c>
    </row>
    <row r="105" customFormat="false" ht="14.25" hidden="false" customHeight="true" outlineLevel="0" collapsed="false">
      <c r="A105" s="5" t="s">
        <v>129</v>
      </c>
      <c r="B105" s="5" t="s">
        <v>18</v>
      </c>
      <c r="C105" s="6" t="n">
        <v>46002</v>
      </c>
      <c r="D105" s="5" t="s">
        <v>23</v>
      </c>
      <c r="E105" s="7" t="n">
        <v>42983</v>
      </c>
      <c r="F105" s="7" t="n">
        <v>19797</v>
      </c>
      <c r="G105" s="7" t="n">
        <v>673</v>
      </c>
      <c r="H105" s="7" t="n">
        <v>154</v>
      </c>
      <c r="I105" s="7" t="n">
        <v>68</v>
      </c>
      <c r="J105" s="8" t="n">
        <v>4.52</v>
      </c>
      <c r="K105" s="9" t="n">
        <f aca="false">(G105+H105+I105)/E105</f>
        <v>0.0208221855152037</v>
      </c>
    </row>
    <row r="106" customFormat="false" ht="14.25" hidden="false" customHeight="true" outlineLevel="0" collapsed="false">
      <c r="A106" s="5" t="s">
        <v>130</v>
      </c>
      <c r="B106" s="5" t="s">
        <v>33</v>
      </c>
      <c r="C106" s="6" t="n">
        <v>45860</v>
      </c>
      <c r="D106" s="5" t="s">
        <v>23</v>
      </c>
      <c r="E106" s="7" t="n">
        <v>5423</v>
      </c>
      <c r="F106" s="7" t="n">
        <v>3771</v>
      </c>
      <c r="G106" s="7" t="n">
        <v>221</v>
      </c>
      <c r="H106" s="7" t="n">
        <v>71</v>
      </c>
      <c r="I106" s="7" t="n">
        <v>53</v>
      </c>
      <c r="J106" s="8" t="n">
        <v>9.15</v>
      </c>
      <c r="K106" s="9" t="n">
        <f aca="false">(G106+H106+I106)/E106</f>
        <v>0.0636179236584916</v>
      </c>
    </row>
    <row r="107" customFormat="false" ht="14.25" hidden="false" customHeight="true" outlineLevel="0" collapsed="false">
      <c r="A107" s="5" t="s">
        <v>131</v>
      </c>
      <c r="B107" s="5" t="s">
        <v>18</v>
      </c>
      <c r="C107" s="6" t="n">
        <v>45333</v>
      </c>
      <c r="D107" s="5" t="s">
        <v>19</v>
      </c>
      <c r="E107" s="7" t="n">
        <v>27596</v>
      </c>
      <c r="F107" s="7" t="n">
        <v>16651</v>
      </c>
      <c r="G107" s="7" t="n">
        <v>1185</v>
      </c>
      <c r="H107" s="7" t="n">
        <v>71</v>
      </c>
      <c r="I107" s="7" t="n">
        <v>90</v>
      </c>
      <c r="J107" s="8" t="n">
        <v>8.08</v>
      </c>
      <c r="K107" s="9" t="n">
        <f aca="false">(G107+H107+I107)/E107</f>
        <v>0.0487751848093927</v>
      </c>
    </row>
    <row r="108" customFormat="false" ht="14.25" hidden="false" customHeight="true" outlineLevel="0" collapsed="false">
      <c r="A108" s="5" t="s">
        <v>132</v>
      </c>
      <c r="B108" s="5" t="s">
        <v>25</v>
      </c>
      <c r="C108" s="6" t="n">
        <v>45627</v>
      </c>
      <c r="D108" s="5" t="s">
        <v>23</v>
      </c>
      <c r="E108" s="7" t="n">
        <v>175808</v>
      </c>
      <c r="F108" s="7" t="n">
        <v>61551</v>
      </c>
      <c r="G108" s="7" t="n">
        <v>3980</v>
      </c>
      <c r="H108" s="7" t="n">
        <v>950</v>
      </c>
      <c r="I108" s="7" t="n">
        <v>2381</v>
      </c>
      <c r="J108" s="8" t="n">
        <v>11.88</v>
      </c>
      <c r="K108" s="9" t="n">
        <f aca="false">(G108+H108+I108)/E108</f>
        <v>0.0415851383327266</v>
      </c>
    </row>
    <row r="109" customFormat="false" ht="14.25" hidden="false" customHeight="true" outlineLevel="0" collapsed="false">
      <c r="A109" s="5" t="s">
        <v>133</v>
      </c>
      <c r="B109" s="5" t="s">
        <v>18</v>
      </c>
      <c r="C109" s="6" t="n">
        <v>45677</v>
      </c>
      <c r="D109" s="5" t="s">
        <v>26</v>
      </c>
      <c r="E109" s="7" t="n">
        <v>49085</v>
      </c>
      <c r="F109" s="7" t="n">
        <v>21307</v>
      </c>
      <c r="G109" s="7" t="n">
        <v>817</v>
      </c>
      <c r="H109" s="7" t="n">
        <v>259</v>
      </c>
      <c r="I109" s="7" t="n">
        <v>178</v>
      </c>
      <c r="J109" s="8" t="n">
        <v>5.89</v>
      </c>
      <c r="K109" s="9" t="n">
        <f aca="false">(G109+H109+I109)/E109</f>
        <v>0.0255475196088418</v>
      </c>
    </row>
    <row r="110" customFormat="false" ht="14.25" hidden="false" customHeight="true" outlineLevel="0" collapsed="false">
      <c r="A110" s="5" t="s">
        <v>134</v>
      </c>
      <c r="B110" s="5" t="s">
        <v>18</v>
      </c>
      <c r="C110" s="6" t="n">
        <v>45919</v>
      </c>
      <c r="D110" s="5" t="s">
        <v>23</v>
      </c>
      <c r="E110" s="7" t="n">
        <v>32982</v>
      </c>
      <c r="F110" s="7" t="n">
        <v>18147</v>
      </c>
      <c r="G110" s="7" t="n">
        <v>1001</v>
      </c>
      <c r="H110" s="7" t="n">
        <v>187</v>
      </c>
      <c r="I110" s="7" t="n">
        <v>159</v>
      </c>
      <c r="J110" s="8" t="n">
        <v>7.42</v>
      </c>
      <c r="K110" s="9" t="n">
        <f aca="false">(G110+H110+I110)/E110</f>
        <v>0.0408404584318719</v>
      </c>
    </row>
    <row r="111" customFormat="false" ht="14.25" hidden="false" customHeight="true" outlineLevel="0" collapsed="false">
      <c r="A111" s="5" t="s">
        <v>135</v>
      </c>
      <c r="B111" s="5" t="s">
        <v>18</v>
      </c>
      <c r="C111" s="6" t="n">
        <v>45524</v>
      </c>
      <c r="D111" s="5" t="s">
        <v>26</v>
      </c>
      <c r="E111" s="7" t="n">
        <v>36143</v>
      </c>
      <c r="F111" s="7" t="n">
        <v>17997</v>
      </c>
      <c r="G111" s="7" t="n">
        <v>645</v>
      </c>
      <c r="H111" s="7" t="n">
        <v>44</v>
      </c>
      <c r="I111" s="7" t="n">
        <v>131</v>
      </c>
      <c r="J111" s="8" t="n">
        <v>4.56</v>
      </c>
      <c r="K111" s="9" t="n">
        <f aca="false">(G111+H111+I111)/E111</f>
        <v>0.0226876573610381</v>
      </c>
    </row>
    <row r="112" customFormat="false" ht="14.25" hidden="false" customHeight="true" outlineLevel="0" collapsed="false">
      <c r="A112" s="5" t="s">
        <v>136</v>
      </c>
      <c r="B112" s="5" t="s">
        <v>14</v>
      </c>
      <c r="C112" s="6" t="n">
        <v>45755</v>
      </c>
      <c r="D112" s="5" t="s">
        <v>28</v>
      </c>
      <c r="E112" s="7" t="n">
        <v>26260</v>
      </c>
      <c r="F112" s="7" t="n">
        <v>17369</v>
      </c>
      <c r="G112" s="7" t="n">
        <v>250</v>
      </c>
      <c r="H112" s="7" t="n">
        <v>343</v>
      </c>
      <c r="I112" s="7" t="n">
        <v>159</v>
      </c>
      <c r="J112" s="8" t="n">
        <v>4.33</v>
      </c>
      <c r="K112" s="9" t="n">
        <f aca="false">(G112+H112+I112)/E112</f>
        <v>0.0286367098248286</v>
      </c>
    </row>
    <row r="113" customFormat="false" ht="14.25" hidden="false" customHeight="true" outlineLevel="0" collapsed="false">
      <c r="A113" s="5" t="s">
        <v>137</v>
      </c>
      <c r="B113" s="5" t="s">
        <v>25</v>
      </c>
      <c r="C113" s="6" t="n">
        <v>45917</v>
      </c>
      <c r="D113" s="5" t="s">
        <v>26</v>
      </c>
      <c r="E113" s="7" t="n">
        <v>380871</v>
      </c>
      <c r="F113" s="7" t="n">
        <v>249854</v>
      </c>
      <c r="G113" s="7" t="n">
        <v>26712</v>
      </c>
      <c r="H113" s="7" t="n">
        <v>4443</v>
      </c>
      <c r="I113" s="7" t="n">
        <v>10913</v>
      </c>
      <c r="J113" s="8" t="n">
        <v>16.84</v>
      </c>
      <c r="K113" s="9" t="n">
        <f aca="false">(G113+H113+I113)/E113</f>
        <v>0.110452095328865</v>
      </c>
    </row>
    <row r="114" customFormat="false" ht="14.25" hidden="false" customHeight="true" outlineLevel="0" collapsed="false">
      <c r="A114" s="5" t="s">
        <v>138</v>
      </c>
      <c r="B114" s="5" t="s">
        <v>14</v>
      </c>
      <c r="C114" s="6" t="n">
        <v>45808</v>
      </c>
      <c r="D114" s="5" t="s">
        <v>15</v>
      </c>
      <c r="E114" s="7" t="n">
        <v>8059</v>
      </c>
      <c r="F114" s="7" t="n">
        <v>5232</v>
      </c>
      <c r="G114" s="7" t="n">
        <v>140</v>
      </c>
      <c r="H114" s="7" t="n">
        <v>62</v>
      </c>
      <c r="I114" s="7" t="n">
        <v>132</v>
      </c>
      <c r="J114" s="8" t="n">
        <v>6.38</v>
      </c>
      <c r="K114" s="9" t="n">
        <f aca="false">(G114+H114+I114)/E114</f>
        <v>0.0414443479339868</v>
      </c>
    </row>
    <row r="115" customFormat="false" ht="14.25" hidden="false" customHeight="true" outlineLevel="0" collapsed="false">
      <c r="A115" s="5" t="s">
        <v>139</v>
      </c>
      <c r="B115" s="5" t="s">
        <v>22</v>
      </c>
      <c r="C115" s="6" t="n">
        <v>45442</v>
      </c>
      <c r="D115" s="5" t="s">
        <v>15</v>
      </c>
      <c r="E115" s="7" t="n">
        <v>5867</v>
      </c>
      <c r="F115" s="7" t="n">
        <v>4500</v>
      </c>
      <c r="G115" s="7" t="n">
        <v>57</v>
      </c>
      <c r="H115" s="7" t="n">
        <v>11</v>
      </c>
      <c r="I115" s="7" t="n">
        <v>73</v>
      </c>
      <c r="J115" s="8" t="n">
        <v>3.13</v>
      </c>
      <c r="K115" s="9" t="n">
        <f aca="false">(G115+H115+I115)/E115</f>
        <v>0.0240327254133288</v>
      </c>
    </row>
    <row r="116" customFormat="false" ht="14.25" hidden="false" customHeight="true" outlineLevel="0" collapsed="false">
      <c r="A116" s="5" t="s">
        <v>140</v>
      </c>
      <c r="B116" s="5" t="s">
        <v>25</v>
      </c>
      <c r="C116" s="6" t="n">
        <v>45682</v>
      </c>
      <c r="D116" s="5" t="s">
        <v>26</v>
      </c>
      <c r="E116" s="7" t="n">
        <v>257439</v>
      </c>
      <c r="F116" s="7" t="n">
        <v>156287</v>
      </c>
      <c r="G116" s="7" t="n">
        <v>17587</v>
      </c>
      <c r="H116" s="7" t="n">
        <v>3960</v>
      </c>
      <c r="I116" s="7" t="n">
        <v>1772</v>
      </c>
      <c r="J116" s="8" t="n">
        <v>14.92</v>
      </c>
      <c r="K116" s="9" t="n">
        <f aca="false">(G116+H116+I116)/E116</f>
        <v>0.0905806812487618</v>
      </c>
    </row>
    <row r="117" customFormat="false" ht="14.25" hidden="false" customHeight="true" outlineLevel="0" collapsed="false">
      <c r="A117" s="5" t="s">
        <v>141</v>
      </c>
      <c r="B117" s="5" t="s">
        <v>25</v>
      </c>
      <c r="C117" s="6" t="n">
        <v>45382</v>
      </c>
      <c r="D117" s="5" t="s">
        <v>26</v>
      </c>
      <c r="E117" s="7" t="n">
        <v>280763</v>
      </c>
      <c r="F117" s="7" t="n">
        <v>124724</v>
      </c>
      <c r="G117" s="7" t="n">
        <v>6383</v>
      </c>
      <c r="H117" s="7" t="n">
        <v>1762</v>
      </c>
      <c r="I117" s="7" t="n">
        <v>3138</v>
      </c>
      <c r="J117" s="8" t="n">
        <v>9.05</v>
      </c>
      <c r="K117" s="9" t="n">
        <f aca="false">(G117+H117+I117)/E117</f>
        <v>0.0401869192165634</v>
      </c>
    </row>
    <row r="118" customFormat="false" ht="14.25" hidden="false" customHeight="true" outlineLevel="0" collapsed="false">
      <c r="A118" s="5" t="s">
        <v>142</v>
      </c>
      <c r="B118" s="5" t="s">
        <v>22</v>
      </c>
      <c r="C118" s="6" t="n">
        <v>45901</v>
      </c>
      <c r="D118" s="5" t="s">
        <v>23</v>
      </c>
      <c r="E118" s="7" t="n">
        <v>29237</v>
      </c>
      <c r="F118" s="7" t="n">
        <v>21836</v>
      </c>
      <c r="G118" s="7" t="n">
        <v>581</v>
      </c>
      <c r="H118" s="7" t="n">
        <v>110</v>
      </c>
      <c r="I118" s="7" t="n">
        <v>190</v>
      </c>
      <c r="J118" s="8" t="n">
        <v>4.03</v>
      </c>
      <c r="K118" s="9" t="n">
        <f aca="false">(G118+H118+I118)/E118</f>
        <v>0.0301330505865855</v>
      </c>
    </row>
    <row r="119" customFormat="false" ht="14.25" hidden="false" customHeight="true" outlineLevel="0" collapsed="false">
      <c r="A119" s="5" t="s">
        <v>143</v>
      </c>
      <c r="B119" s="5" t="s">
        <v>14</v>
      </c>
      <c r="C119" s="6" t="n">
        <v>45309</v>
      </c>
      <c r="D119" s="5" t="s">
        <v>15</v>
      </c>
      <c r="E119" s="7" t="n">
        <v>7249</v>
      </c>
      <c r="F119" s="7" t="n">
        <v>4321</v>
      </c>
      <c r="G119" s="7" t="n">
        <v>145</v>
      </c>
      <c r="H119" s="7" t="n">
        <v>56</v>
      </c>
      <c r="I119" s="7" t="n">
        <v>95</v>
      </c>
      <c r="J119" s="8" t="n">
        <v>6.85</v>
      </c>
      <c r="K119" s="9" t="n">
        <f aca="false">(G119+H119+I119)/E119</f>
        <v>0.0408332183749483</v>
      </c>
    </row>
    <row r="120" customFormat="false" ht="14.25" hidden="false" customHeight="true" outlineLevel="0" collapsed="false">
      <c r="A120" s="5" t="s">
        <v>144</v>
      </c>
      <c r="B120" s="5" t="s">
        <v>33</v>
      </c>
      <c r="C120" s="6" t="n">
        <v>45467</v>
      </c>
      <c r="D120" s="5" t="s">
        <v>28</v>
      </c>
      <c r="E120" s="7" t="n">
        <v>424</v>
      </c>
      <c r="F120" s="7" t="n">
        <v>266</v>
      </c>
      <c r="G120" s="7" t="n">
        <v>11</v>
      </c>
      <c r="H120" s="7" t="n">
        <v>2</v>
      </c>
      <c r="I120" s="7" t="n">
        <v>3</v>
      </c>
      <c r="J120" s="8" t="n">
        <v>6.02</v>
      </c>
      <c r="K120" s="9" t="n">
        <f aca="false">(G120+H120+I120)/E120</f>
        <v>0.0377358490566038</v>
      </c>
    </row>
    <row r="121" customFormat="false" ht="14.25" hidden="false" customHeight="true" outlineLevel="0" collapsed="false">
      <c r="A121" s="5" t="s">
        <v>145</v>
      </c>
      <c r="B121" s="5" t="s">
        <v>25</v>
      </c>
      <c r="C121" s="6" t="n">
        <v>45691</v>
      </c>
      <c r="D121" s="5" t="s">
        <v>23</v>
      </c>
      <c r="E121" s="7" t="n">
        <v>291125</v>
      </c>
      <c r="F121" s="7" t="n">
        <v>91396</v>
      </c>
      <c r="G121" s="7" t="n">
        <v>4316</v>
      </c>
      <c r="H121" s="7" t="n">
        <v>1826</v>
      </c>
      <c r="I121" s="7" t="n">
        <v>1395</v>
      </c>
      <c r="J121" s="8" t="n">
        <v>8.25</v>
      </c>
      <c r="K121" s="9" t="n">
        <f aca="false">(G121+H121+I121)/E121</f>
        <v>0.0258892228424216</v>
      </c>
    </row>
    <row r="122" customFormat="false" ht="14.25" hidden="false" customHeight="true" outlineLevel="0" collapsed="false">
      <c r="A122" s="5" t="s">
        <v>146</v>
      </c>
      <c r="B122" s="5" t="s">
        <v>14</v>
      </c>
      <c r="C122" s="6" t="n">
        <v>45366</v>
      </c>
      <c r="D122" s="5" t="s">
        <v>19</v>
      </c>
      <c r="E122" s="7" t="n">
        <v>21641</v>
      </c>
      <c r="F122" s="7" t="n">
        <v>12865</v>
      </c>
      <c r="G122" s="7" t="n">
        <v>370</v>
      </c>
      <c r="H122" s="7" t="n">
        <v>188</v>
      </c>
      <c r="I122" s="7" t="n">
        <v>233</v>
      </c>
      <c r="J122" s="8" t="n">
        <v>6.15</v>
      </c>
      <c r="K122" s="9" t="n">
        <f aca="false">(G122+H122+I122)/E122</f>
        <v>0.0365509911741602</v>
      </c>
    </row>
    <row r="123" customFormat="false" ht="14.25" hidden="false" customHeight="true" outlineLevel="0" collapsed="false">
      <c r="A123" s="5" t="s">
        <v>147</v>
      </c>
      <c r="B123" s="5" t="s">
        <v>14</v>
      </c>
      <c r="C123" s="6" t="n">
        <v>45643</v>
      </c>
      <c r="D123" s="5" t="s">
        <v>15</v>
      </c>
      <c r="E123" s="7" t="n">
        <v>20634</v>
      </c>
      <c r="F123" s="7" t="n">
        <v>13640</v>
      </c>
      <c r="G123" s="7" t="n">
        <v>631</v>
      </c>
      <c r="H123" s="7" t="n">
        <v>183</v>
      </c>
      <c r="I123" s="7" t="n">
        <v>195</v>
      </c>
      <c r="J123" s="8" t="n">
        <v>7.4</v>
      </c>
      <c r="K123" s="9" t="n">
        <f aca="false">(G123+H123+I123)/E123</f>
        <v>0.0488998739943782</v>
      </c>
    </row>
    <row r="124" customFormat="false" ht="14.25" hidden="false" customHeight="true" outlineLevel="0" collapsed="false">
      <c r="A124" s="5" t="s">
        <v>148</v>
      </c>
      <c r="B124" s="5" t="s">
        <v>25</v>
      </c>
      <c r="C124" s="6" t="n">
        <v>45507</v>
      </c>
      <c r="D124" s="5" t="s">
        <v>26</v>
      </c>
      <c r="E124" s="7" t="n">
        <v>75797</v>
      </c>
      <c r="F124" s="7" t="n">
        <v>46050</v>
      </c>
      <c r="G124" s="7" t="n">
        <v>5250</v>
      </c>
      <c r="H124" s="7" t="n">
        <v>887</v>
      </c>
      <c r="I124" s="7" t="n">
        <v>628</v>
      </c>
      <c r="J124" s="8" t="n">
        <v>14.69</v>
      </c>
      <c r="K124" s="9" t="n">
        <f aca="false">(G124+H124+I124)/E124</f>
        <v>0.089251553491563</v>
      </c>
    </row>
    <row r="125" customFormat="false" ht="14.25" hidden="false" customHeight="true" outlineLevel="0" collapsed="false">
      <c r="A125" s="5" t="s">
        <v>149</v>
      </c>
      <c r="B125" s="5" t="s">
        <v>18</v>
      </c>
      <c r="C125" s="6" t="n">
        <v>45615</v>
      </c>
      <c r="D125" s="5" t="s">
        <v>28</v>
      </c>
      <c r="E125" s="7" t="n">
        <v>68263</v>
      </c>
      <c r="F125" s="7" t="n">
        <v>30619</v>
      </c>
      <c r="G125" s="7" t="n">
        <v>1958</v>
      </c>
      <c r="H125" s="7" t="n">
        <v>353</v>
      </c>
      <c r="I125" s="7" t="n">
        <v>216</v>
      </c>
      <c r="J125" s="8" t="n">
        <v>8.25</v>
      </c>
      <c r="K125" s="9" t="n">
        <f aca="false">(G125+H125+I125)/E125</f>
        <v>0.0370185898656666</v>
      </c>
    </row>
    <row r="126" customFormat="false" ht="14.25" hidden="false" customHeight="true" outlineLevel="0" collapsed="false">
      <c r="A126" s="5" t="s">
        <v>150</v>
      </c>
      <c r="B126" s="5" t="s">
        <v>22</v>
      </c>
      <c r="C126" s="6" t="n">
        <v>45358</v>
      </c>
      <c r="D126" s="5" t="s">
        <v>19</v>
      </c>
      <c r="E126" s="7" t="n">
        <v>11209</v>
      </c>
      <c r="F126" s="7" t="n">
        <v>9067</v>
      </c>
      <c r="G126" s="7" t="n">
        <v>126</v>
      </c>
      <c r="H126" s="7" t="n">
        <v>19</v>
      </c>
      <c r="I126" s="7" t="n">
        <v>107</v>
      </c>
      <c r="J126" s="8" t="n">
        <v>2.78</v>
      </c>
      <c r="K126" s="9" t="n">
        <f aca="false">(G126+H126+I126)/E126</f>
        <v>0.02248193416005</v>
      </c>
    </row>
    <row r="127" customFormat="false" ht="14.25" hidden="false" customHeight="true" outlineLevel="0" collapsed="false">
      <c r="A127" s="5" t="s">
        <v>151</v>
      </c>
      <c r="B127" s="5" t="s">
        <v>25</v>
      </c>
      <c r="C127" s="6" t="n">
        <v>45643</v>
      </c>
      <c r="D127" s="5" t="s">
        <v>23</v>
      </c>
      <c r="E127" s="7" t="n">
        <v>23196</v>
      </c>
      <c r="F127" s="7" t="n">
        <v>7460</v>
      </c>
      <c r="G127" s="7" t="n">
        <v>333</v>
      </c>
      <c r="H127" s="7" t="n">
        <v>134</v>
      </c>
      <c r="I127" s="7" t="n">
        <v>295</v>
      </c>
      <c r="J127" s="8" t="n">
        <v>10.21</v>
      </c>
      <c r="K127" s="9" t="n">
        <f aca="false">(G127+H127+I127)/E127</f>
        <v>0.0328504914640455</v>
      </c>
    </row>
    <row r="128" customFormat="false" ht="14.25" hidden="false" customHeight="true" outlineLevel="0" collapsed="false">
      <c r="A128" s="5" t="s">
        <v>152</v>
      </c>
      <c r="B128" s="5" t="s">
        <v>18</v>
      </c>
      <c r="C128" s="6" t="n">
        <v>45633</v>
      </c>
      <c r="D128" s="5" t="s">
        <v>26</v>
      </c>
      <c r="E128" s="7" t="n">
        <v>94201</v>
      </c>
      <c r="F128" s="7" t="n">
        <v>59848</v>
      </c>
      <c r="G128" s="7" t="n">
        <v>4419</v>
      </c>
      <c r="H128" s="7" t="n">
        <v>348</v>
      </c>
      <c r="I128" s="7" t="n">
        <v>219</v>
      </c>
      <c r="J128" s="8" t="n">
        <v>8.33</v>
      </c>
      <c r="K128" s="9" t="n">
        <f aca="false">(G128+H128+I128)/E128</f>
        <v>0.0529293744227768</v>
      </c>
    </row>
    <row r="129" customFormat="false" ht="14.25" hidden="false" customHeight="true" outlineLevel="0" collapsed="false">
      <c r="A129" s="5" t="s">
        <v>153</v>
      </c>
      <c r="B129" s="5" t="s">
        <v>25</v>
      </c>
      <c r="C129" s="6" t="n">
        <v>45890</v>
      </c>
      <c r="D129" s="5" t="s">
        <v>23</v>
      </c>
      <c r="E129" s="7" t="n">
        <v>367485</v>
      </c>
      <c r="F129" s="7" t="n">
        <v>118114</v>
      </c>
      <c r="G129" s="7" t="n">
        <v>13007</v>
      </c>
      <c r="H129" s="7" t="n">
        <v>2010</v>
      </c>
      <c r="I129" s="7" t="n">
        <v>5699</v>
      </c>
      <c r="J129" s="8" t="n">
        <v>17.54</v>
      </c>
      <c r="K129" s="9" t="n">
        <f aca="false">(G129+H129+I129)/E129</f>
        <v>0.0563723689402289</v>
      </c>
    </row>
    <row r="130" customFormat="false" ht="14.25" hidden="false" customHeight="true" outlineLevel="0" collapsed="false">
      <c r="A130" s="5" t="s">
        <v>154</v>
      </c>
      <c r="B130" s="5" t="s">
        <v>14</v>
      </c>
      <c r="C130" s="6" t="n">
        <v>45444</v>
      </c>
      <c r="D130" s="5" t="s">
        <v>23</v>
      </c>
      <c r="E130" s="7" t="n">
        <v>29086</v>
      </c>
      <c r="F130" s="7" t="n">
        <v>14164</v>
      </c>
      <c r="G130" s="7" t="n">
        <v>381</v>
      </c>
      <c r="H130" s="7" t="n">
        <v>114</v>
      </c>
      <c r="I130" s="7" t="n">
        <v>211</v>
      </c>
      <c r="J130" s="8" t="n">
        <v>4.98</v>
      </c>
      <c r="K130" s="9" t="n">
        <f aca="false">(G130+H130+I130)/E130</f>
        <v>0.0242728460427697</v>
      </c>
    </row>
    <row r="131" customFormat="false" ht="14.25" hidden="false" customHeight="true" outlineLevel="0" collapsed="false">
      <c r="A131" s="5" t="s">
        <v>155</v>
      </c>
      <c r="B131" s="5" t="s">
        <v>25</v>
      </c>
      <c r="C131" s="6" t="n">
        <v>45830</v>
      </c>
      <c r="D131" s="5" t="s">
        <v>26</v>
      </c>
      <c r="E131" s="7" t="n">
        <v>340086</v>
      </c>
      <c r="F131" s="7" t="n">
        <v>198003</v>
      </c>
      <c r="G131" s="7" t="n">
        <v>13799</v>
      </c>
      <c r="H131" s="7" t="n">
        <v>1575</v>
      </c>
      <c r="I131" s="7" t="n">
        <v>5883</v>
      </c>
      <c r="J131" s="8" t="n">
        <v>10.74</v>
      </c>
      <c r="K131" s="9" t="n">
        <f aca="false">(G131+H131+I131)/E131</f>
        <v>0.0625047782031604</v>
      </c>
    </row>
    <row r="132" customFormat="false" ht="14.25" hidden="false" customHeight="true" outlineLevel="0" collapsed="false">
      <c r="A132" s="5" t="s">
        <v>156</v>
      </c>
      <c r="B132" s="5" t="s">
        <v>33</v>
      </c>
      <c r="C132" s="6" t="n">
        <v>45542</v>
      </c>
      <c r="D132" s="5" t="s">
        <v>23</v>
      </c>
      <c r="E132" s="7" t="n">
        <v>32142</v>
      </c>
      <c r="F132" s="7" t="n">
        <v>17934</v>
      </c>
      <c r="G132" s="7" t="n">
        <v>817</v>
      </c>
      <c r="H132" s="7" t="n">
        <v>213</v>
      </c>
      <c r="I132" s="7" t="n">
        <v>215</v>
      </c>
      <c r="J132" s="8" t="n">
        <v>6.94</v>
      </c>
      <c r="K132" s="9" t="n">
        <f aca="false">(G132+H132+I132)/E132</f>
        <v>0.0387343662497667</v>
      </c>
    </row>
    <row r="133" customFormat="false" ht="14.25" hidden="false" customHeight="true" outlineLevel="0" collapsed="false">
      <c r="A133" s="5" t="s">
        <v>157</v>
      </c>
      <c r="B133" s="5" t="s">
        <v>25</v>
      </c>
      <c r="C133" s="6" t="n">
        <v>45345</v>
      </c>
      <c r="D133" s="5" t="s">
        <v>26</v>
      </c>
      <c r="E133" s="7" t="n">
        <v>30650</v>
      </c>
      <c r="F133" s="7" t="n">
        <v>14347</v>
      </c>
      <c r="G133" s="7" t="n">
        <v>899</v>
      </c>
      <c r="H133" s="7" t="n">
        <v>289</v>
      </c>
      <c r="I133" s="7" t="n">
        <v>194</v>
      </c>
      <c r="J133" s="8" t="n">
        <v>9.63</v>
      </c>
      <c r="K133" s="9" t="n">
        <f aca="false">(G133+H133+I133)/E133</f>
        <v>0.045089722675367</v>
      </c>
    </row>
    <row r="134" customFormat="false" ht="14.25" hidden="false" customHeight="true" outlineLevel="0" collapsed="false">
      <c r="A134" s="5" t="s">
        <v>158</v>
      </c>
      <c r="B134" s="5" t="s">
        <v>14</v>
      </c>
      <c r="C134" s="6" t="n">
        <v>45415</v>
      </c>
      <c r="D134" s="5" t="s">
        <v>28</v>
      </c>
      <c r="E134" s="7" t="n">
        <v>27037</v>
      </c>
      <c r="F134" s="7" t="n">
        <v>9717</v>
      </c>
      <c r="G134" s="7" t="n">
        <v>154</v>
      </c>
      <c r="H134" s="7" t="n">
        <v>146</v>
      </c>
      <c r="I134" s="7" t="n">
        <v>220</v>
      </c>
      <c r="J134" s="8" t="n">
        <v>5.35</v>
      </c>
      <c r="K134" s="9" t="n">
        <f aca="false">(G134+H134+I134)/E134</f>
        <v>0.0192329030587713</v>
      </c>
    </row>
    <row r="135" customFormat="false" ht="14.25" hidden="false" customHeight="true" outlineLevel="0" collapsed="false">
      <c r="A135" s="5" t="s">
        <v>159</v>
      </c>
      <c r="B135" s="5" t="s">
        <v>18</v>
      </c>
      <c r="C135" s="6" t="n">
        <v>45734</v>
      </c>
      <c r="D135" s="5" t="s">
        <v>28</v>
      </c>
      <c r="E135" s="7" t="n">
        <v>23100</v>
      </c>
      <c r="F135" s="7" t="n">
        <v>10566</v>
      </c>
      <c r="G135" s="7" t="n">
        <v>602</v>
      </c>
      <c r="H135" s="7" t="n">
        <v>136</v>
      </c>
      <c r="I135" s="7" t="n">
        <v>26</v>
      </c>
      <c r="J135" s="8" t="n">
        <v>7.23</v>
      </c>
      <c r="K135" s="9" t="n">
        <f aca="false">(G135+H135+I135)/E135</f>
        <v>0.0330735930735931</v>
      </c>
    </row>
    <row r="136" customFormat="false" ht="14.25" hidden="false" customHeight="true" outlineLevel="0" collapsed="false">
      <c r="A136" s="5" t="s">
        <v>160</v>
      </c>
      <c r="B136" s="5" t="s">
        <v>18</v>
      </c>
      <c r="C136" s="6" t="n">
        <v>45650</v>
      </c>
      <c r="D136" s="5" t="s">
        <v>26</v>
      </c>
      <c r="E136" s="7" t="n">
        <v>16363</v>
      </c>
      <c r="F136" s="7" t="n">
        <v>9124</v>
      </c>
      <c r="G136" s="7" t="n">
        <v>429</v>
      </c>
      <c r="H136" s="7" t="n">
        <v>91</v>
      </c>
      <c r="I136" s="7" t="n">
        <v>81</v>
      </c>
      <c r="J136" s="8" t="n">
        <v>6.59</v>
      </c>
      <c r="K136" s="9" t="n">
        <f aca="false">(G136+H136+I136)/E136</f>
        <v>0.0367292061357942</v>
      </c>
    </row>
    <row r="137" customFormat="false" ht="14.25" hidden="false" customHeight="true" outlineLevel="0" collapsed="false">
      <c r="A137" s="5" t="s">
        <v>161</v>
      </c>
      <c r="B137" s="5" t="s">
        <v>25</v>
      </c>
      <c r="C137" s="6" t="n">
        <v>46004</v>
      </c>
      <c r="D137" s="5" t="s">
        <v>23</v>
      </c>
      <c r="E137" s="7" t="n">
        <v>93162</v>
      </c>
      <c r="F137" s="7" t="n">
        <v>41278</v>
      </c>
      <c r="G137" s="7" t="n">
        <v>2618</v>
      </c>
      <c r="H137" s="7" t="n">
        <v>802</v>
      </c>
      <c r="I137" s="7" t="n">
        <v>1648</v>
      </c>
      <c r="J137" s="8" t="n">
        <v>12.28</v>
      </c>
      <c r="K137" s="9" t="n">
        <f aca="false">(G137+H137+I137)/E137</f>
        <v>0.0543998626049248</v>
      </c>
    </row>
    <row r="138" customFormat="false" ht="14.25" hidden="false" customHeight="true" outlineLevel="0" collapsed="false">
      <c r="A138" s="5" t="s">
        <v>162</v>
      </c>
      <c r="B138" s="5" t="s">
        <v>18</v>
      </c>
      <c r="C138" s="6" t="n">
        <v>45571</v>
      </c>
      <c r="D138" s="5" t="s">
        <v>23</v>
      </c>
      <c r="E138" s="7" t="n">
        <v>75048</v>
      </c>
      <c r="F138" s="7" t="n">
        <v>35482</v>
      </c>
      <c r="G138" s="7" t="n">
        <v>1561</v>
      </c>
      <c r="H138" s="7" t="n">
        <v>466</v>
      </c>
      <c r="I138" s="7" t="n">
        <v>297</v>
      </c>
      <c r="J138" s="8" t="n">
        <v>6.55</v>
      </c>
      <c r="K138" s="9" t="n">
        <f aca="false">(G138+H138+I138)/E138</f>
        <v>0.0309668478840209</v>
      </c>
    </row>
    <row r="139" customFormat="false" ht="14.25" hidden="false" customHeight="true" outlineLevel="0" collapsed="false">
      <c r="A139" s="5" t="s">
        <v>163</v>
      </c>
      <c r="B139" s="5" t="s">
        <v>18</v>
      </c>
      <c r="C139" s="6" t="n">
        <v>45818</v>
      </c>
      <c r="D139" s="5" t="s">
        <v>28</v>
      </c>
      <c r="E139" s="7" t="n">
        <v>44099</v>
      </c>
      <c r="F139" s="7" t="n">
        <v>33605</v>
      </c>
      <c r="G139" s="7" t="n">
        <v>2363</v>
      </c>
      <c r="H139" s="7" t="n">
        <v>226</v>
      </c>
      <c r="I139" s="7" t="n">
        <v>217</v>
      </c>
      <c r="J139" s="8" t="n">
        <v>8.35</v>
      </c>
      <c r="K139" s="9" t="n">
        <f aca="false">(G139+H139+I139)/E139</f>
        <v>0.063629560761015</v>
      </c>
    </row>
    <row r="140" customFormat="false" ht="14.25" hidden="false" customHeight="true" outlineLevel="0" collapsed="false">
      <c r="A140" s="5" t="s">
        <v>164</v>
      </c>
      <c r="B140" s="5" t="s">
        <v>25</v>
      </c>
      <c r="C140" s="6" t="n">
        <v>45472</v>
      </c>
      <c r="D140" s="5" t="s">
        <v>26</v>
      </c>
      <c r="E140" s="7" t="n">
        <v>239851</v>
      </c>
      <c r="F140" s="7" t="n">
        <v>124623</v>
      </c>
      <c r="G140" s="7" t="n">
        <v>9500</v>
      </c>
      <c r="H140" s="7" t="n">
        <v>1981</v>
      </c>
      <c r="I140" s="7" t="n">
        <v>4114</v>
      </c>
      <c r="J140" s="8" t="n">
        <v>12.51</v>
      </c>
      <c r="K140" s="9" t="n">
        <f aca="false">(G140+H140+I140)/E140</f>
        <v>0.065019532960046</v>
      </c>
    </row>
    <row r="141" customFormat="false" ht="14.25" hidden="false" customHeight="true" outlineLevel="0" collapsed="false">
      <c r="A141" s="5" t="s">
        <v>165</v>
      </c>
      <c r="B141" s="5" t="s">
        <v>22</v>
      </c>
      <c r="C141" s="6" t="n">
        <v>45544</v>
      </c>
      <c r="D141" s="5" t="s">
        <v>19</v>
      </c>
      <c r="E141" s="7" t="n">
        <v>18718</v>
      </c>
      <c r="F141" s="7" t="n">
        <v>16040</v>
      </c>
      <c r="G141" s="7" t="n">
        <v>189</v>
      </c>
      <c r="H141" s="7" t="n">
        <v>56</v>
      </c>
      <c r="I141" s="7" t="n">
        <v>137</v>
      </c>
      <c r="J141" s="8" t="n">
        <v>2.38</v>
      </c>
      <c r="K141" s="9" t="n">
        <f aca="false">(G141+H141+I141)/E141</f>
        <v>0.0204081632653061</v>
      </c>
    </row>
    <row r="142" customFormat="false" ht="14.25" hidden="false" customHeight="true" outlineLevel="0" collapsed="false">
      <c r="A142" s="5" t="s">
        <v>166</v>
      </c>
      <c r="B142" s="5" t="s">
        <v>18</v>
      </c>
      <c r="C142" s="6" t="n">
        <v>45656</v>
      </c>
      <c r="D142" s="5" t="s">
        <v>28</v>
      </c>
      <c r="E142" s="7" t="n">
        <v>22710</v>
      </c>
      <c r="F142" s="7" t="n">
        <v>16442</v>
      </c>
      <c r="G142" s="7" t="n">
        <v>899</v>
      </c>
      <c r="H142" s="7" t="n">
        <v>209</v>
      </c>
      <c r="I142" s="7" t="n">
        <v>93</v>
      </c>
      <c r="J142" s="8" t="n">
        <v>7.3</v>
      </c>
      <c r="K142" s="9" t="n">
        <f aca="false">(G142+H142+I142)/E142</f>
        <v>0.0528841919859093</v>
      </c>
    </row>
    <row r="143" customFormat="false" ht="14.25" hidden="false" customHeight="true" outlineLevel="0" collapsed="false">
      <c r="A143" s="5" t="s">
        <v>167</v>
      </c>
      <c r="B143" s="5" t="s">
        <v>25</v>
      </c>
      <c r="C143" s="6" t="n">
        <v>45835</v>
      </c>
      <c r="D143" s="5" t="s">
        <v>23</v>
      </c>
      <c r="E143" s="7" t="n">
        <v>334929</v>
      </c>
      <c r="F143" s="7" t="n">
        <v>222057</v>
      </c>
      <c r="G143" s="7" t="n">
        <v>14562</v>
      </c>
      <c r="H143" s="7" t="n">
        <v>6577</v>
      </c>
      <c r="I143" s="7" t="n">
        <v>7722</v>
      </c>
      <c r="J143" s="8" t="n">
        <v>13</v>
      </c>
      <c r="K143" s="9" t="n">
        <f aca="false">(G143+H143+I143)/E143</f>
        <v>0.0861705018078458</v>
      </c>
    </row>
    <row r="144" customFormat="false" ht="14.25" hidden="false" customHeight="true" outlineLevel="0" collapsed="false">
      <c r="A144" s="5" t="s">
        <v>168</v>
      </c>
      <c r="B144" s="5" t="s">
        <v>25</v>
      </c>
      <c r="C144" s="6" t="n">
        <v>45457</v>
      </c>
      <c r="D144" s="5" t="s">
        <v>23</v>
      </c>
      <c r="E144" s="7" t="n">
        <v>116642</v>
      </c>
      <c r="F144" s="7" t="n">
        <v>66958</v>
      </c>
      <c r="G144" s="7" t="n">
        <v>3056</v>
      </c>
      <c r="H144" s="7" t="n">
        <v>1891</v>
      </c>
      <c r="I144" s="7" t="n">
        <v>2501</v>
      </c>
      <c r="J144" s="8" t="n">
        <v>11.12</v>
      </c>
      <c r="K144" s="9" t="n">
        <f aca="false">(G144+H144+I144)/E144</f>
        <v>0.0638535004543818</v>
      </c>
    </row>
    <row r="145" customFormat="false" ht="14.25" hidden="false" customHeight="true" outlineLevel="0" collapsed="false">
      <c r="A145" s="5" t="s">
        <v>169</v>
      </c>
      <c r="B145" s="5" t="s">
        <v>25</v>
      </c>
      <c r="C145" s="6" t="n">
        <v>45681</v>
      </c>
      <c r="D145" s="5" t="s">
        <v>26</v>
      </c>
      <c r="E145" s="7" t="n">
        <v>343312</v>
      </c>
      <c r="F145" s="7" t="n">
        <v>126762</v>
      </c>
      <c r="G145" s="7" t="n">
        <v>4561</v>
      </c>
      <c r="H145" s="7" t="n">
        <v>2281</v>
      </c>
      <c r="I145" s="7" t="n">
        <v>3281</v>
      </c>
      <c r="J145" s="8" t="n">
        <v>7.99</v>
      </c>
      <c r="K145" s="9" t="n">
        <f aca="false">(G145+H145+I145)/E145</f>
        <v>0.0294862981777509</v>
      </c>
    </row>
    <row r="146" customFormat="false" ht="14.25" hidden="false" customHeight="true" outlineLevel="0" collapsed="false">
      <c r="A146" s="5" t="s">
        <v>170</v>
      </c>
      <c r="B146" s="5" t="s">
        <v>22</v>
      </c>
      <c r="C146" s="6" t="n">
        <v>45858</v>
      </c>
      <c r="D146" s="5" t="s">
        <v>15</v>
      </c>
      <c r="E146" s="7" t="n">
        <v>15197</v>
      </c>
      <c r="F146" s="7" t="n">
        <v>10245</v>
      </c>
      <c r="G146" s="7" t="n">
        <v>111</v>
      </c>
      <c r="H146" s="7" t="n">
        <v>65</v>
      </c>
      <c r="I146" s="7" t="n">
        <v>105</v>
      </c>
      <c r="J146" s="8" t="n">
        <v>2.74</v>
      </c>
      <c r="K146" s="9" t="n">
        <f aca="false">(G146+H146+I146)/E146</f>
        <v>0.0184904915443838</v>
      </c>
    </row>
    <row r="147" customFormat="false" ht="14.25" hidden="false" customHeight="true" outlineLevel="0" collapsed="false">
      <c r="A147" s="5" t="s">
        <v>171</v>
      </c>
      <c r="B147" s="5" t="s">
        <v>25</v>
      </c>
      <c r="C147" s="6" t="n">
        <v>45754</v>
      </c>
      <c r="D147" s="5" t="s">
        <v>23</v>
      </c>
      <c r="E147" s="7" t="n">
        <v>293856</v>
      </c>
      <c r="F147" s="7" t="n">
        <v>123520</v>
      </c>
      <c r="G147" s="7" t="n">
        <v>6174</v>
      </c>
      <c r="H147" s="7" t="n">
        <v>1311</v>
      </c>
      <c r="I147" s="7" t="n">
        <v>1917</v>
      </c>
      <c r="J147" s="8" t="n">
        <v>7.61</v>
      </c>
      <c r="K147" s="9" t="n">
        <f aca="false">(G147+H147+I147)/E147</f>
        <v>0.0319952629859523</v>
      </c>
    </row>
    <row r="148" customFormat="false" ht="14.25" hidden="false" customHeight="true" outlineLevel="0" collapsed="false">
      <c r="A148" s="5" t="s">
        <v>172</v>
      </c>
      <c r="B148" s="5" t="s">
        <v>18</v>
      </c>
      <c r="C148" s="6" t="n">
        <v>45652</v>
      </c>
      <c r="D148" s="5" t="s">
        <v>23</v>
      </c>
      <c r="E148" s="7" t="n">
        <v>5511</v>
      </c>
      <c r="F148" s="7" t="n">
        <v>2621</v>
      </c>
      <c r="G148" s="7" t="n">
        <v>175</v>
      </c>
      <c r="H148" s="7" t="n">
        <v>25</v>
      </c>
      <c r="I148" s="7" t="n">
        <v>9</v>
      </c>
      <c r="J148" s="8" t="n">
        <v>7.97</v>
      </c>
      <c r="K148" s="9" t="n">
        <f aca="false">(G148+H148+I148)/E148</f>
        <v>0.0379241516966068</v>
      </c>
    </row>
    <row r="149" customFormat="false" ht="14.25" hidden="false" customHeight="true" outlineLevel="0" collapsed="false">
      <c r="A149" s="5" t="s">
        <v>173</v>
      </c>
      <c r="B149" s="5" t="s">
        <v>14</v>
      </c>
      <c r="C149" s="6" t="n">
        <v>45876</v>
      </c>
      <c r="D149" s="5" t="s">
        <v>19</v>
      </c>
      <c r="E149" s="7" t="n">
        <v>27066</v>
      </c>
      <c r="F149" s="7" t="n">
        <v>18125</v>
      </c>
      <c r="G149" s="7" t="n">
        <v>364</v>
      </c>
      <c r="H149" s="7" t="n">
        <v>293</v>
      </c>
      <c r="I149" s="7" t="n">
        <v>456</v>
      </c>
      <c r="J149" s="8" t="n">
        <v>6.14</v>
      </c>
      <c r="K149" s="9" t="n">
        <f aca="false">(G149+H149+I149)/E149</f>
        <v>0.0411217025049878</v>
      </c>
    </row>
    <row r="150" customFormat="false" ht="14.25" hidden="false" customHeight="true" outlineLevel="0" collapsed="false">
      <c r="A150" s="5" t="s">
        <v>174</v>
      </c>
      <c r="B150" s="5" t="s">
        <v>14</v>
      </c>
      <c r="C150" s="6" t="n">
        <v>46002</v>
      </c>
      <c r="D150" s="5" t="s">
        <v>23</v>
      </c>
      <c r="E150" s="7" t="n">
        <v>19890</v>
      </c>
      <c r="F150" s="7" t="n">
        <v>12829</v>
      </c>
      <c r="G150" s="7" t="n">
        <v>147</v>
      </c>
      <c r="H150" s="7" t="n">
        <v>175</v>
      </c>
      <c r="I150" s="7" t="n">
        <v>230</v>
      </c>
      <c r="J150" s="8" t="n">
        <v>4.3</v>
      </c>
      <c r="K150" s="9" t="n">
        <f aca="false">(G150+H150+I150)/E150</f>
        <v>0.0277526395173454</v>
      </c>
    </row>
    <row r="151" customFormat="false" ht="14.25" hidden="false" customHeight="true" outlineLevel="0" collapsed="false">
      <c r="A151" s="5" t="s">
        <v>175</v>
      </c>
      <c r="B151" s="5" t="s">
        <v>14</v>
      </c>
      <c r="C151" s="6" t="n">
        <v>45467</v>
      </c>
      <c r="D151" s="5" t="s">
        <v>19</v>
      </c>
      <c r="E151" s="7" t="n">
        <v>25081</v>
      </c>
      <c r="F151" s="7" t="n">
        <v>8094</v>
      </c>
      <c r="G151" s="7" t="n">
        <v>155</v>
      </c>
      <c r="H151" s="7" t="n">
        <v>161</v>
      </c>
      <c r="I151" s="7" t="n">
        <v>189</v>
      </c>
      <c r="J151" s="8" t="n">
        <v>6.24</v>
      </c>
      <c r="K151" s="9" t="n">
        <f aca="false">(G151+H151+I151)/E151</f>
        <v>0.0201347633666919</v>
      </c>
    </row>
    <row r="152" customFormat="false" ht="14.25" hidden="false" customHeight="true" outlineLevel="0" collapsed="false">
      <c r="A152" s="5" t="s">
        <v>176</v>
      </c>
      <c r="B152" s="5" t="s">
        <v>18</v>
      </c>
      <c r="C152" s="6" t="n">
        <v>45494</v>
      </c>
      <c r="D152" s="5" t="s">
        <v>26</v>
      </c>
      <c r="E152" s="7" t="n">
        <v>104239</v>
      </c>
      <c r="F152" s="7" t="n">
        <v>49276</v>
      </c>
      <c r="G152" s="7" t="n">
        <v>2773</v>
      </c>
      <c r="H152" s="7" t="n">
        <v>500</v>
      </c>
      <c r="I152" s="7" t="n">
        <v>483</v>
      </c>
      <c r="J152" s="8" t="n">
        <v>7.62</v>
      </c>
      <c r="K152" s="9" t="n">
        <f aca="false">(G152+H152+I152)/E152</f>
        <v>0.0360325789771583</v>
      </c>
    </row>
    <row r="153" customFormat="false" ht="14.25" hidden="false" customHeight="true" outlineLevel="0" collapsed="false">
      <c r="A153" s="5" t="s">
        <v>177</v>
      </c>
      <c r="B153" s="5" t="s">
        <v>25</v>
      </c>
      <c r="C153" s="6" t="n">
        <v>45643</v>
      </c>
      <c r="D153" s="5" t="s">
        <v>26</v>
      </c>
      <c r="E153" s="7" t="n">
        <v>384927</v>
      </c>
      <c r="F153" s="7" t="n">
        <v>135945</v>
      </c>
      <c r="G153" s="7" t="n">
        <v>7052</v>
      </c>
      <c r="H153" s="7" t="n">
        <v>2759</v>
      </c>
      <c r="I153" s="7" t="n">
        <v>4351</v>
      </c>
      <c r="J153" s="8" t="n">
        <v>10.42</v>
      </c>
      <c r="K153" s="9" t="n">
        <f aca="false">(G153+H153+I153)/E153</f>
        <v>0.0367913916145139</v>
      </c>
    </row>
    <row r="154" customFormat="false" ht="14.25" hidden="false" customHeight="true" outlineLevel="0" collapsed="false">
      <c r="A154" s="5" t="s">
        <v>178</v>
      </c>
      <c r="B154" s="5" t="s">
        <v>14</v>
      </c>
      <c r="C154" s="6" t="n">
        <v>45976</v>
      </c>
      <c r="D154" s="5" t="s">
        <v>23</v>
      </c>
      <c r="E154" s="7" t="n">
        <v>20119</v>
      </c>
      <c r="F154" s="7" t="n">
        <v>13193</v>
      </c>
      <c r="G154" s="7" t="n">
        <v>271</v>
      </c>
      <c r="H154" s="7" t="n">
        <v>254</v>
      </c>
      <c r="I154" s="7" t="n">
        <v>155</v>
      </c>
      <c r="J154" s="8" t="n">
        <v>5.15</v>
      </c>
      <c r="K154" s="9" t="n">
        <f aca="false">(G154+H154+I154)/E154</f>
        <v>0.0337988965654357</v>
      </c>
    </row>
    <row r="155" customFormat="false" ht="14.25" hidden="false" customHeight="true" outlineLevel="0" collapsed="false">
      <c r="A155" s="5" t="s">
        <v>179</v>
      </c>
      <c r="B155" s="5" t="s">
        <v>33</v>
      </c>
      <c r="C155" s="6" t="n">
        <v>45898</v>
      </c>
      <c r="D155" s="5" t="s">
        <v>15</v>
      </c>
      <c r="E155" s="7" t="n">
        <v>3246</v>
      </c>
      <c r="F155" s="7" t="n">
        <v>1680</v>
      </c>
      <c r="G155" s="7" t="n">
        <v>39</v>
      </c>
      <c r="H155" s="7" t="n">
        <v>16</v>
      </c>
      <c r="I155" s="7" t="n">
        <v>14</v>
      </c>
      <c r="J155" s="8" t="n">
        <v>4.11</v>
      </c>
      <c r="K155" s="9" t="n">
        <f aca="false">(G155+H155+I155)/E155</f>
        <v>0.0212569316081331</v>
      </c>
    </row>
    <row r="156" customFormat="false" ht="14.25" hidden="false" customHeight="true" outlineLevel="0" collapsed="false">
      <c r="A156" s="5" t="s">
        <v>180</v>
      </c>
      <c r="B156" s="5" t="s">
        <v>25</v>
      </c>
      <c r="C156" s="6" t="n">
        <v>45489</v>
      </c>
      <c r="D156" s="5" t="s">
        <v>26</v>
      </c>
      <c r="E156" s="7" t="n">
        <v>30091</v>
      </c>
      <c r="F156" s="7" t="n">
        <v>18661</v>
      </c>
      <c r="G156" s="7" t="n">
        <v>1810</v>
      </c>
      <c r="H156" s="7" t="n">
        <v>174</v>
      </c>
      <c r="I156" s="7" t="n">
        <v>701</v>
      </c>
      <c r="J156" s="8" t="n">
        <v>14.39</v>
      </c>
      <c r="K156" s="9" t="n">
        <f aca="false">(G156+H156+I156)/E156</f>
        <v>0.089229337675717</v>
      </c>
    </row>
    <row r="157" customFormat="false" ht="14.25" hidden="false" customHeight="true" outlineLevel="0" collapsed="false">
      <c r="A157" s="5" t="s">
        <v>181</v>
      </c>
      <c r="B157" s="5" t="s">
        <v>33</v>
      </c>
      <c r="C157" s="6" t="n">
        <v>45920</v>
      </c>
      <c r="D157" s="5" t="s">
        <v>15</v>
      </c>
      <c r="E157" s="7" t="n">
        <v>11667</v>
      </c>
      <c r="F157" s="7" t="n">
        <v>9170</v>
      </c>
      <c r="G157" s="7" t="n">
        <v>448</v>
      </c>
      <c r="H157" s="7" t="n">
        <v>211</v>
      </c>
      <c r="I157" s="7" t="n">
        <v>67</v>
      </c>
      <c r="J157" s="8" t="n">
        <v>7.92</v>
      </c>
      <c r="K157" s="9" t="n">
        <f aca="false">(G157+H157+I157)/E157</f>
        <v>0.0622267935201851</v>
      </c>
    </row>
    <row r="158" customFormat="false" ht="14.25" hidden="false" customHeight="true" outlineLevel="0" collapsed="false">
      <c r="A158" s="5" t="s">
        <v>182</v>
      </c>
      <c r="B158" s="5" t="s">
        <v>25</v>
      </c>
      <c r="C158" s="6" t="n">
        <v>45778</v>
      </c>
      <c r="D158" s="5" t="s">
        <v>23</v>
      </c>
      <c r="E158" s="7" t="n">
        <v>194808</v>
      </c>
      <c r="F158" s="7" t="n">
        <v>132787</v>
      </c>
      <c r="G158" s="7" t="n">
        <v>13497</v>
      </c>
      <c r="H158" s="7" t="n">
        <v>2076</v>
      </c>
      <c r="I158" s="7" t="n">
        <v>2239</v>
      </c>
      <c r="J158" s="8" t="n">
        <v>13.41</v>
      </c>
      <c r="K158" s="9" t="n">
        <f aca="false">(G158+H158+I158)/E158</f>
        <v>0.091433616689253</v>
      </c>
    </row>
    <row r="159" customFormat="false" ht="14.25" hidden="false" customHeight="true" outlineLevel="0" collapsed="false">
      <c r="A159" s="5" t="s">
        <v>183</v>
      </c>
      <c r="B159" s="5" t="s">
        <v>25</v>
      </c>
      <c r="C159" s="6" t="n">
        <v>45896</v>
      </c>
      <c r="D159" s="5" t="s">
        <v>23</v>
      </c>
      <c r="E159" s="7" t="n">
        <v>408495</v>
      </c>
      <c r="F159" s="7" t="n">
        <v>221297</v>
      </c>
      <c r="G159" s="7" t="n">
        <v>8945</v>
      </c>
      <c r="H159" s="7" t="n">
        <v>1490</v>
      </c>
      <c r="I159" s="7" t="n">
        <v>6381</v>
      </c>
      <c r="J159" s="8" t="n">
        <v>7.6</v>
      </c>
      <c r="K159" s="9" t="n">
        <f aca="false">(G159+H159+I159)/E159</f>
        <v>0.0411657425427484</v>
      </c>
    </row>
    <row r="160" customFormat="false" ht="14.25" hidden="false" customHeight="true" outlineLevel="0" collapsed="false">
      <c r="A160" s="5" t="s">
        <v>184</v>
      </c>
      <c r="B160" s="5" t="s">
        <v>18</v>
      </c>
      <c r="C160" s="6" t="n">
        <v>45419</v>
      </c>
      <c r="D160" s="5" t="s">
        <v>26</v>
      </c>
      <c r="E160" s="7" t="n">
        <v>26303</v>
      </c>
      <c r="F160" s="7" t="n">
        <v>16607</v>
      </c>
      <c r="G160" s="7" t="n">
        <v>1319</v>
      </c>
      <c r="H160" s="7" t="n">
        <v>207</v>
      </c>
      <c r="I160" s="7" t="n">
        <v>60</v>
      </c>
      <c r="J160" s="8" t="n">
        <v>9.55</v>
      </c>
      <c r="K160" s="9" t="n">
        <f aca="false">(G160+H160+I160)/E160</f>
        <v>0.0602973044899821</v>
      </c>
    </row>
    <row r="161" customFormat="false" ht="14.25" hidden="false" customHeight="true" outlineLevel="0" collapsed="false">
      <c r="A161" s="5" t="s">
        <v>185</v>
      </c>
      <c r="B161" s="5" t="s">
        <v>33</v>
      </c>
      <c r="C161" s="6" t="n">
        <v>45470</v>
      </c>
      <c r="D161" s="5" t="s">
        <v>28</v>
      </c>
      <c r="E161" s="7" t="n">
        <v>11727</v>
      </c>
      <c r="F161" s="7" t="n">
        <v>5198</v>
      </c>
      <c r="G161" s="7" t="n">
        <v>254</v>
      </c>
      <c r="H161" s="7" t="n">
        <v>119</v>
      </c>
      <c r="I161" s="7" t="n">
        <v>37</v>
      </c>
      <c r="J161" s="8" t="n">
        <v>7.89</v>
      </c>
      <c r="K161" s="9" t="n">
        <f aca="false">(G161+H161+I161)/E161</f>
        <v>0.0349620533810864</v>
      </c>
    </row>
    <row r="162" customFormat="false" ht="14.25" hidden="false" customHeight="true" outlineLevel="0" collapsed="false">
      <c r="A162" s="5" t="s">
        <v>186</v>
      </c>
      <c r="B162" s="5" t="s">
        <v>22</v>
      </c>
      <c r="C162" s="6" t="n">
        <v>45995</v>
      </c>
      <c r="D162" s="5" t="s">
        <v>19</v>
      </c>
      <c r="E162" s="7" t="n">
        <v>471</v>
      </c>
      <c r="F162" s="7" t="n">
        <v>276</v>
      </c>
      <c r="G162" s="7" t="n">
        <v>7</v>
      </c>
      <c r="H162" s="7" t="n">
        <v>0</v>
      </c>
      <c r="I162" s="7" t="n">
        <v>4</v>
      </c>
      <c r="J162" s="8" t="n">
        <v>3.99</v>
      </c>
      <c r="K162" s="9" t="n">
        <f aca="false">(G162+H162+I162)/E162</f>
        <v>0.0233545647558386</v>
      </c>
    </row>
    <row r="163" customFormat="false" ht="14.25" hidden="false" customHeight="true" outlineLevel="0" collapsed="false">
      <c r="A163" s="5" t="s">
        <v>187</v>
      </c>
      <c r="B163" s="5" t="s">
        <v>33</v>
      </c>
      <c r="C163" s="6" t="n">
        <v>45292</v>
      </c>
      <c r="D163" s="5" t="s">
        <v>28</v>
      </c>
      <c r="E163" s="7" t="n">
        <v>20026</v>
      </c>
      <c r="F163" s="7" t="n">
        <v>11416</v>
      </c>
      <c r="G163" s="7" t="n">
        <v>469</v>
      </c>
      <c r="H163" s="7" t="n">
        <v>208</v>
      </c>
      <c r="I163" s="7" t="n">
        <v>165</v>
      </c>
      <c r="J163" s="8" t="n">
        <v>7.38</v>
      </c>
      <c r="K163" s="9" t="n">
        <f aca="false">(G163+H163+I163)/E163</f>
        <v>0.0420453410566264</v>
      </c>
    </row>
    <row r="164" customFormat="false" ht="14.25" hidden="false" customHeight="true" outlineLevel="0" collapsed="false">
      <c r="A164" s="5" t="s">
        <v>188</v>
      </c>
      <c r="B164" s="5" t="s">
        <v>18</v>
      </c>
      <c r="C164" s="6" t="n">
        <v>45894</v>
      </c>
      <c r="D164" s="5" t="s">
        <v>19</v>
      </c>
      <c r="E164" s="7" t="n">
        <v>20181</v>
      </c>
      <c r="F164" s="7" t="n">
        <v>15435</v>
      </c>
      <c r="G164" s="7" t="n">
        <v>573</v>
      </c>
      <c r="H164" s="7" t="n">
        <v>160</v>
      </c>
      <c r="I164" s="7" t="n">
        <v>74</v>
      </c>
      <c r="J164" s="8" t="n">
        <v>5.23</v>
      </c>
      <c r="K164" s="9" t="n">
        <f aca="false">(G164+H164+I164)/E164</f>
        <v>0.0399881076259848</v>
      </c>
    </row>
    <row r="165" customFormat="false" ht="14.25" hidden="false" customHeight="true" outlineLevel="0" collapsed="false">
      <c r="A165" s="5" t="s">
        <v>189</v>
      </c>
      <c r="B165" s="5" t="s">
        <v>18</v>
      </c>
      <c r="C165" s="6" t="n">
        <v>45389</v>
      </c>
      <c r="D165" s="5" t="s">
        <v>28</v>
      </c>
      <c r="E165" s="7" t="n">
        <v>36009</v>
      </c>
      <c r="F165" s="7" t="n">
        <v>28102</v>
      </c>
      <c r="G165" s="7" t="n">
        <v>1365</v>
      </c>
      <c r="H165" s="7" t="n">
        <v>80</v>
      </c>
      <c r="I165" s="7" t="n">
        <v>71</v>
      </c>
      <c r="J165" s="8" t="n">
        <v>5.39</v>
      </c>
      <c r="K165" s="9" t="n">
        <f aca="false">(G165+H165+I165)/E165</f>
        <v>0.04210058596462</v>
      </c>
    </row>
    <row r="166" customFormat="false" ht="14.25" hidden="false" customHeight="true" outlineLevel="0" collapsed="false">
      <c r="A166" s="5" t="s">
        <v>190</v>
      </c>
      <c r="B166" s="5" t="s">
        <v>33</v>
      </c>
      <c r="C166" s="6" t="n">
        <v>45407</v>
      </c>
      <c r="D166" s="5" t="s">
        <v>23</v>
      </c>
      <c r="E166" s="7" t="n">
        <v>10578</v>
      </c>
      <c r="F166" s="7" t="n">
        <v>6946</v>
      </c>
      <c r="G166" s="7" t="n">
        <v>278</v>
      </c>
      <c r="H166" s="7" t="n">
        <v>44</v>
      </c>
      <c r="I166" s="7" t="n">
        <v>34</v>
      </c>
      <c r="J166" s="8" t="n">
        <v>5.13</v>
      </c>
      <c r="K166" s="9" t="n">
        <f aca="false">(G166+H166+I166)/E166</f>
        <v>0.0336547551522027</v>
      </c>
    </row>
    <row r="167" customFormat="false" ht="14.25" hidden="false" customHeight="true" outlineLevel="0" collapsed="false">
      <c r="A167" s="5" t="s">
        <v>191</v>
      </c>
      <c r="B167" s="5" t="s">
        <v>18</v>
      </c>
      <c r="C167" s="6" t="n">
        <v>45783</v>
      </c>
      <c r="D167" s="5" t="s">
        <v>23</v>
      </c>
      <c r="E167" s="7" t="n">
        <v>48103</v>
      </c>
      <c r="F167" s="7" t="n">
        <v>24178</v>
      </c>
      <c r="G167" s="7" t="n">
        <v>1342</v>
      </c>
      <c r="H167" s="7" t="n">
        <v>354</v>
      </c>
      <c r="I167" s="7" t="n">
        <v>139</v>
      </c>
      <c r="J167" s="8" t="n">
        <v>7.59</v>
      </c>
      <c r="K167" s="9" t="n">
        <f aca="false">(G167+H167+I167)/E167</f>
        <v>0.0381473088996528</v>
      </c>
    </row>
    <row r="168" customFormat="false" ht="14.25" hidden="false" customHeight="true" outlineLevel="0" collapsed="false">
      <c r="A168" s="5" t="s">
        <v>192</v>
      </c>
      <c r="B168" s="5" t="s">
        <v>22</v>
      </c>
      <c r="C168" s="6" t="n">
        <v>46001</v>
      </c>
      <c r="D168" s="5" t="s">
        <v>23</v>
      </c>
      <c r="E168" s="7" t="n">
        <v>14655</v>
      </c>
      <c r="F168" s="7" t="n">
        <v>13078</v>
      </c>
      <c r="G168" s="7" t="n">
        <v>388</v>
      </c>
      <c r="H168" s="7" t="n">
        <v>44</v>
      </c>
      <c r="I168" s="7" t="n">
        <v>81</v>
      </c>
      <c r="J168" s="8" t="n">
        <v>3.92</v>
      </c>
      <c r="K168" s="9" t="n">
        <f aca="false">(G168+H168+I168)/E168</f>
        <v>0.0350051177072671</v>
      </c>
    </row>
    <row r="169" customFormat="false" ht="14.25" hidden="false" customHeight="true" outlineLevel="0" collapsed="false">
      <c r="A169" s="5" t="s">
        <v>193</v>
      </c>
      <c r="B169" s="5" t="s">
        <v>25</v>
      </c>
      <c r="C169" s="6" t="n">
        <v>45665</v>
      </c>
      <c r="D169" s="5" t="s">
        <v>26</v>
      </c>
      <c r="E169" s="7" t="n">
        <v>93884</v>
      </c>
      <c r="F169" s="7" t="n">
        <v>52756</v>
      </c>
      <c r="G169" s="7" t="n">
        <v>2125</v>
      </c>
      <c r="H169" s="7" t="n">
        <v>990</v>
      </c>
      <c r="I169" s="7" t="n">
        <v>867</v>
      </c>
      <c r="J169" s="8" t="n">
        <v>7.55</v>
      </c>
      <c r="K169" s="9" t="n">
        <f aca="false">(G169+H169+I169)/E169</f>
        <v>0.0424140428614034</v>
      </c>
    </row>
    <row r="170" customFormat="false" ht="14.25" hidden="false" customHeight="true" outlineLevel="0" collapsed="false">
      <c r="A170" s="5" t="s">
        <v>194</v>
      </c>
      <c r="B170" s="5" t="s">
        <v>18</v>
      </c>
      <c r="C170" s="6" t="n">
        <v>45573</v>
      </c>
      <c r="D170" s="5" t="s">
        <v>28</v>
      </c>
      <c r="E170" s="7" t="n">
        <v>45076</v>
      </c>
      <c r="F170" s="7" t="n">
        <v>24828</v>
      </c>
      <c r="G170" s="7" t="n">
        <v>1520</v>
      </c>
      <c r="H170" s="7" t="n">
        <v>249</v>
      </c>
      <c r="I170" s="7" t="n">
        <v>162</v>
      </c>
      <c r="J170" s="8" t="n">
        <v>7.78</v>
      </c>
      <c r="K170" s="9" t="n">
        <f aca="false">(G170+H170+I170)/E170</f>
        <v>0.0428387612033011</v>
      </c>
    </row>
    <row r="171" customFormat="false" ht="14.25" hidden="false" customHeight="true" outlineLevel="0" collapsed="false">
      <c r="A171" s="5" t="s">
        <v>195</v>
      </c>
      <c r="B171" s="5" t="s">
        <v>22</v>
      </c>
      <c r="C171" s="6" t="n">
        <v>45378</v>
      </c>
      <c r="D171" s="5" t="s">
        <v>23</v>
      </c>
      <c r="E171" s="7" t="n">
        <v>35635</v>
      </c>
      <c r="F171" s="7" t="n">
        <v>27103</v>
      </c>
      <c r="G171" s="7" t="n">
        <v>465</v>
      </c>
      <c r="H171" s="7" t="n">
        <v>39</v>
      </c>
      <c r="I171" s="7" t="n">
        <v>100</v>
      </c>
      <c r="J171" s="8" t="n">
        <v>2.23</v>
      </c>
      <c r="K171" s="9" t="n">
        <f aca="false">(G171+H171+I171)/E171</f>
        <v>0.0169496281745475</v>
      </c>
    </row>
    <row r="172" customFormat="false" ht="14.25" hidden="false" customHeight="true" outlineLevel="0" collapsed="false">
      <c r="A172" s="5" t="s">
        <v>196</v>
      </c>
      <c r="B172" s="5" t="s">
        <v>18</v>
      </c>
      <c r="C172" s="6" t="n">
        <v>45575</v>
      </c>
      <c r="D172" s="5" t="s">
        <v>19</v>
      </c>
      <c r="E172" s="7" t="n">
        <v>15434</v>
      </c>
      <c r="F172" s="7" t="n">
        <v>11400</v>
      </c>
      <c r="G172" s="7" t="n">
        <v>714</v>
      </c>
      <c r="H172" s="7" t="n">
        <v>76</v>
      </c>
      <c r="I172" s="7" t="n">
        <v>13</v>
      </c>
      <c r="J172" s="8" t="n">
        <v>7.04</v>
      </c>
      <c r="K172" s="9" t="n">
        <f aca="false">(G172+H172+I172)/E172</f>
        <v>0.0520279901516133</v>
      </c>
    </row>
    <row r="173" customFormat="false" ht="14.25" hidden="false" customHeight="true" outlineLevel="0" collapsed="false">
      <c r="A173" s="5" t="s">
        <v>197</v>
      </c>
      <c r="B173" s="5" t="s">
        <v>14</v>
      </c>
      <c r="C173" s="6" t="n">
        <v>45425</v>
      </c>
      <c r="D173" s="5" t="s">
        <v>19</v>
      </c>
      <c r="E173" s="7" t="n">
        <v>21321</v>
      </c>
      <c r="F173" s="7" t="n">
        <v>12342</v>
      </c>
      <c r="G173" s="7" t="n">
        <v>176</v>
      </c>
      <c r="H173" s="7" t="n">
        <v>153</v>
      </c>
      <c r="I173" s="7" t="n">
        <v>231</v>
      </c>
      <c r="J173" s="8" t="n">
        <v>4.54</v>
      </c>
      <c r="K173" s="9" t="n">
        <f aca="false">(G173+H173+I173)/E173</f>
        <v>0.0262651845598237</v>
      </c>
    </row>
    <row r="174" customFormat="false" ht="14.25" hidden="false" customHeight="true" outlineLevel="0" collapsed="false">
      <c r="A174" s="5" t="s">
        <v>198</v>
      </c>
      <c r="B174" s="5" t="s">
        <v>14</v>
      </c>
      <c r="C174" s="6" t="n">
        <v>45960</v>
      </c>
      <c r="D174" s="5" t="s">
        <v>23</v>
      </c>
      <c r="E174" s="7" t="n">
        <v>22187</v>
      </c>
      <c r="F174" s="7" t="n">
        <v>9633</v>
      </c>
      <c r="G174" s="7" t="n">
        <v>204</v>
      </c>
      <c r="H174" s="7" t="n">
        <v>37</v>
      </c>
      <c r="I174" s="7" t="n">
        <v>93</v>
      </c>
      <c r="J174" s="8" t="n">
        <v>3.47</v>
      </c>
      <c r="K174" s="9" t="n">
        <f aca="false">(G174+H174+I174)/E174</f>
        <v>0.0150538603686844</v>
      </c>
    </row>
    <row r="175" customFormat="false" ht="14.25" hidden="false" customHeight="true" outlineLevel="0" collapsed="false">
      <c r="A175" s="5" t="s">
        <v>199</v>
      </c>
      <c r="B175" s="5" t="s">
        <v>22</v>
      </c>
      <c r="C175" s="6" t="n">
        <v>45707</v>
      </c>
      <c r="D175" s="5" t="s">
        <v>19</v>
      </c>
      <c r="E175" s="7" t="n">
        <v>9378</v>
      </c>
      <c r="F175" s="7" t="n">
        <v>7167</v>
      </c>
      <c r="G175" s="7" t="n">
        <v>190</v>
      </c>
      <c r="H175" s="7" t="n">
        <v>7</v>
      </c>
      <c r="I175" s="7" t="n">
        <v>96</v>
      </c>
      <c r="J175" s="8" t="n">
        <v>4.09</v>
      </c>
      <c r="K175" s="9" t="n">
        <f aca="false">(G175+H175+I175)/E175</f>
        <v>0.0312433354659842</v>
      </c>
    </row>
    <row r="176" customFormat="false" ht="14.25" hidden="false" customHeight="true" outlineLevel="0" collapsed="false">
      <c r="A176" s="5" t="s">
        <v>200</v>
      </c>
      <c r="B176" s="5" t="s">
        <v>18</v>
      </c>
      <c r="C176" s="6" t="n">
        <v>45846</v>
      </c>
      <c r="D176" s="5" t="s">
        <v>28</v>
      </c>
      <c r="E176" s="7" t="n">
        <v>44531</v>
      </c>
      <c r="F176" s="7" t="n">
        <v>34397</v>
      </c>
      <c r="G176" s="7" t="n">
        <v>1578</v>
      </c>
      <c r="H176" s="7" t="n">
        <v>81</v>
      </c>
      <c r="I176" s="7" t="n">
        <v>227</v>
      </c>
      <c r="J176" s="8" t="n">
        <v>5.48</v>
      </c>
      <c r="K176" s="9" t="n">
        <f aca="false">(G176+H176+I176)/E176</f>
        <v>0.0423525184702791</v>
      </c>
    </row>
    <row r="177" customFormat="false" ht="14.25" hidden="false" customHeight="true" outlineLevel="0" collapsed="false">
      <c r="A177" s="5" t="s">
        <v>201</v>
      </c>
      <c r="B177" s="5" t="s">
        <v>33</v>
      </c>
      <c r="C177" s="6" t="n">
        <v>45542</v>
      </c>
      <c r="D177" s="5" t="s">
        <v>19</v>
      </c>
      <c r="E177" s="7" t="n">
        <v>1833</v>
      </c>
      <c r="F177" s="7" t="n">
        <v>1213</v>
      </c>
      <c r="G177" s="7" t="n">
        <v>42</v>
      </c>
      <c r="H177" s="7" t="n">
        <v>12</v>
      </c>
      <c r="I177" s="7" t="n">
        <v>13</v>
      </c>
      <c r="J177" s="8" t="n">
        <v>5.52</v>
      </c>
      <c r="K177" s="9" t="n">
        <f aca="false">(G177+H177+I177)/E177</f>
        <v>0.0365521003818876</v>
      </c>
    </row>
    <row r="178" customFormat="false" ht="14.25" hidden="false" customHeight="true" outlineLevel="0" collapsed="false">
      <c r="A178" s="5" t="s">
        <v>202</v>
      </c>
      <c r="B178" s="5" t="s">
        <v>25</v>
      </c>
      <c r="C178" s="6" t="n">
        <v>45776</v>
      </c>
      <c r="D178" s="5" t="s">
        <v>23</v>
      </c>
      <c r="E178" s="7" t="n">
        <v>163262</v>
      </c>
      <c r="F178" s="7" t="n">
        <v>69262</v>
      </c>
      <c r="G178" s="7" t="n">
        <v>4425</v>
      </c>
      <c r="H178" s="7" t="n">
        <v>1354</v>
      </c>
      <c r="I178" s="7" t="n">
        <v>2216</v>
      </c>
      <c r="J178" s="8" t="n">
        <v>11.54</v>
      </c>
      <c r="K178" s="9" t="n">
        <f aca="false">(G178+H178+I178)/E178</f>
        <v>0.0489703666499247</v>
      </c>
    </row>
    <row r="179" customFormat="false" ht="14.25" hidden="false" customHeight="true" outlineLevel="0" collapsed="false">
      <c r="A179" s="5" t="s">
        <v>203</v>
      </c>
      <c r="B179" s="5" t="s">
        <v>33</v>
      </c>
      <c r="C179" s="6" t="n">
        <v>45966</v>
      </c>
      <c r="D179" s="5" t="s">
        <v>19</v>
      </c>
      <c r="E179" s="7" t="n">
        <v>10011</v>
      </c>
      <c r="F179" s="7" t="n">
        <v>7004</v>
      </c>
      <c r="G179" s="7" t="n">
        <v>264</v>
      </c>
      <c r="H179" s="7" t="n">
        <v>137</v>
      </c>
      <c r="I179" s="7" t="n">
        <v>44</v>
      </c>
      <c r="J179" s="8" t="n">
        <v>6.35</v>
      </c>
      <c r="K179" s="9" t="n">
        <f aca="false">(G179+H179+I179)/E179</f>
        <v>0.0444511037858356</v>
      </c>
    </row>
    <row r="180" customFormat="false" ht="14.25" hidden="false" customHeight="true" outlineLevel="0" collapsed="false">
      <c r="A180" s="5" t="s">
        <v>204</v>
      </c>
      <c r="B180" s="5" t="s">
        <v>22</v>
      </c>
      <c r="C180" s="6" t="n">
        <v>45726</v>
      </c>
      <c r="D180" s="5" t="s">
        <v>15</v>
      </c>
      <c r="E180" s="7" t="n">
        <v>6937</v>
      </c>
      <c r="F180" s="7" t="n">
        <v>4808</v>
      </c>
      <c r="G180" s="7" t="n">
        <v>91</v>
      </c>
      <c r="H180" s="7" t="n">
        <v>22</v>
      </c>
      <c r="I180" s="7" t="n">
        <v>73</v>
      </c>
      <c r="J180" s="8" t="n">
        <v>3.87</v>
      </c>
      <c r="K180" s="9" t="n">
        <f aca="false">(G180+H180+I180)/E180</f>
        <v>0.0268127432607756</v>
      </c>
    </row>
    <row r="181" customFormat="false" ht="14.25" hidden="false" customHeight="true" outlineLevel="0" collapsed="false">
      <c r="A181" s="5" t="s">
        <v>205</v>
      </c>
      <c r="B181" s="5" t="s">
        <v>18</v>
      </c>
      <c r="C181" s="6" t="n">
        <v>45988</v>
      </c>
      <c r="D181" s="5" t="s">
        <v>28</v>
      </c>
      <c r="E181" s="7" t="n">
        <v>13744</v>
      </c>
      <c r="F181" s="7" t="n">
        <v>6665</v>
      </c>
      <c r="G181" s="7" t="n">
        <v>229</v>
      </c>
      <c r="H181" s="7" t="n">
        <v>76</v>
      </c>
      <c r="I181" s="7" t="n">
        <v>38</v>
      </c>
      <c r="J181" s="8" t="n">
        <v>5.15</v>
      </c>
      <c r="K181" s="9" t="n">
        <f aca="false">(G181+H181+I181)/E181</f>
        <v>0.0249563445867288</v>
      </c>
    </row>
    <row r="182" customFormat="false" ht="14.25" hidden="false" customHeight="true" outlineLevel="0" collapsed="false">
      <c r="A182" s="5" t="s">
        <v>206</v>
      </c>
      <c r="B182" s="5" t="s">
        <v>18</v>
      </c>
      <c r="C182" s="6" t="n">
        <v>45815</v>
      </c>
      <c r="D182" s="5" t="s">
        <v>23</v>
      </c>
      <c r="E182" s="7" t="n">
        <v>109761</v>
      </c>
      <c r="F182" s="7" t="n">
        <v>67645</v>
      </c>
      <c r="G182" s="7" t="n">
        <v>2000</v>
      </c>
      <c r="H182" s="7" t="n">
        <v>322</v>
      </c>
      <c r="I182" s="7" t="n">
        <v>89</v>
      </c>
      <c r="J182" s="8" t="n">
        <v>3.56</v>
      </c>
      <c r="K182" s="9" t="n">
        <f aca="false">(G182+H182+I182)/E182</f>
        <v>0.0219659077450096</v>
      </c>
    </row>
    <row r="183" customFormat="false" ht="14.25" hidden="false" customHeight="true" outlineLevel="0" collapsed="false">
      <c r="A183" s="5" t="s">
        <v>207</v>
      </c>
      <c r="B183" s="5" t="s">
        <v>14</v>
      </c>
      <c r="C183" s="6" t="n">
        <v>45525</v>
      </c>
      <c r="D183" s="5" t="s">
        <v>15</v>
      </c>
      <c r="E183" s="7" t="n">
        <v>19511</v>
      </c>
      <c r="F183" s="7" t="n">
        <v>5968</v>
      </c>
      <c r="G183" s="7" t="n">
        <v>204</v>
      </c>
      <c r="H183" s="7" t="n">
        <v>25</v>
      </c>
      <c r="I183" s="7" t="n">
        <v>111</v>
      </c>
      <c r="J183" s="8" t="n">
        <v>5.7</v>
      </c>
      <c r="K183" s="9" t="n">
        <f aca="false">(G183+H183+I183)/E183</f>
        <v>0.017426067346625</v>
      </c>
    </row>
    <row r="184" customFormat="false" ht="14.25" hidden="false" customHeight="true" outlineLevel="0" collapsed="false">
      <c r="A184" s="5" t="s">
        <v>208</v>
      </c>
      <c r="B184" s="5" t="s">
        <v>18</v>
      </c>
      <c r="C184" s="6" t="n">
        <v>45357</v>
      </c>
      <c r="D184" s="5" t="s">
        <v>26</v>
      </c>
      <c r="E184" s="7" t="n">
        <v>44075</v>
      </c>
      <c r="F184" s="7" t="n">
        <v>26842</v>
      </c>
      <c r="G184" s="7" t="n">
        <v>936</v>
      </c>
      <c r="H184" s="7" t="n">
        <v>58</v>
      </c>
      <c r="I184" s="7" t="n">
        <v>224</v>
      </c>
      <c r="J184" s="8" t="n">
        <v>4.54</v>
      </c>
      <c r="K184" s="9" t="n">
        <f aca="false">(G184+H184+I184)/E184</f>
        <v>0.0276347135564379</v>
      </c>
    </row>
    <row r="185" customFormat="false" ht="14.25" hidden="false" customHeight="true" outlineLevel="0" collapsed="false">
      <c r="A185" s="5" t="s">
        <v>209</v>
      </c>
      <c r="B185" s="5" t="s">
        <v>25</v>
      </c>
      <c r="C185" s="6" t="n">
        <v>45839</v>
      </c>
      <c r="D185" s="5" t="s">
        <v>26</v>
      </c>
      <c r="E185" s="7" t="n">
        <v>430687</v>
      </c>
      <c r="F185" s="7" t="n">
        <v>221165</v>
      </c>
      <c r="G185" s="7" t="n">
        <v>19145</v>
      </c>
      <c r="H185" s="7" t="n">
        <v>1539</v>
      </c>
      <c r="I185" s="7" t="n">
        <v>8164</v>
      </c>
      <c r="J185" s="8" t="n">
        <v>13.04</v>
      </c>
      <c r="K185" s="9" t="n">
        <f aca="false">(G185+H185+I185)/E185</f>
        <v>0.0669813576913164</v>
      </c>
    </row>
    <row r="186" customFormat="false" ht="14.25" hidden="false" customHeight="true" outlineLevel="0" collapsed="false">
      <c r="A186" s="5" t="s">
        <v>210</v>
      </c>
      <c r="B186" s="5" t="s">
        <v>25</v>
      </c>
      <c r="C186" s="6" t="n">
        <v>45348</v>
      </c>
      <c r="D186" s="5" t="s">
        <v>23</v>
      </c>
      <c r="E186" s="7" t="n">
        <v>180438</v>
      </c>
      <c r="F186" s="7" t="n">
        <v>122609</v>
      </c>
      <c r="G186" s="7" t="n">
        <v>11422</v>
      </c>
      <c r="H186" s="7" t="n">
        <v>3176</v>
      </c>
      <c r="I186" s="7" t="n">
        <v>4525</v>
      </c>
      <c r="J186" s="8" t="n">
        <v>15.6</v>
      </c>
      <c r="K186" s="9" t="n">
        <f aca="false">(G186+H186+I186)/E186</f>
        <v>0.105981001784546</v>
      </c>
    </row>
    <row r="187" customFormat="false" ht="14.25" hidden="false" customHeight="true" outlineLevel="0" collapsed="false">
      <c r="A187" s="5" t="s">
        <v>211</v>
      </c>
      <c r="B187" s="5" t="s">
        <v>33</v>
      </c>
      <c r="C187" s="6" t="n">
        <v>45675</v>
      </c>
      <c r="D187" s="5" t="s">
        <v>15</v>
      </c>
      <c r="E187" s="7" t="n">
        <v>14797</v>
      </c>
      <c r="F187" s="7" t="n">
        <v>8621</v>
      </c>
      <c r="G187" s="7" t="n">
        <v>192</v>
      </c>
      <c r="H187" s="7" t="n">
        <v>168</v>
      </c>
      <c r="I187" s="7" t="n">
        <v>35</v>
      </c>
      <c r="J187" s="8" t="n">
        <v>4.58</v>
      </c>
      <c r="K187" s="9" t="n">
        <f aca="false">(G187+H187+I187)/E187</f>
        <v>0.0266946002568088</v>
      </c>
    </row>
    <row r="188" customFormat="false" ht="14.25" hidden="false" customHeight="true" outlineLevel="0" collapsed="false">
      <c r="A188" s="5" t="s">
        <v>212</v>
      </c>
      <c r="B188" s="5" t="s">
        <v>25</v>
      </c>
      <c r="C188" s="6" t="n">
        <v>45308</v>
      </c>
      <c r="D188" s="5" t="s">
        <v>23</v>
      </c>
      <c r="E188" s="7" t="n">
        <v>69757</v>
      </c>
      <c r="F188" s="7" t="n">
        <v>40862</v>
      </c>
      <c r="G188" s="7" t="n">
        <v>3206</v>
      </c>
      <c r="H188" s="7" t="n">
        <v>1150</v>
      </c>
      <c r="I188" s="7" t="n">
        <v>1599</v>
      </c>
      <c r="J188" s="8" t="n">
        <v>14.57</v>
      </c>
      <c r="K188" s="9" t="n">
        <f aca="false">(G188+H188+I188)/E188</f>
        <v>0.085367776710581</v>
      </c>
    </row>
    <row r="189" customFormat="false" ht="14.25" hidden="false" customHeight="true" outlineLevel="0" collapsed="false">
      <c r="A189" s="5" t="s">
        <v>213</v>
      </c>
      <c r="B189" s="5" t="s">
        <v>18</v>
      </c>
      <c r="C189" s="6" t="n">
        <v>45801</v>
      </c>
      <c r="D189" s="5" t="s">
        <v>23</v>
      </c>
      <c r="E189" s="7" t="n">
        <v>38300</v>
      </c>
      <c r="F189" s="7" t="n">
        <v>28274</v>
      </c>
      <c r="G189" s="7" t="n">
        <v>777</v>
      </c>
      <c r="H189" s="7" t="n">
        <v>327</v>
      </c>
      <c r="I189" s="7" t="n">
        <v>100</v>
      </c>
      <c r="J189" s="8" t="n">
        <v>4.26</v>
      </c>
      <c r="K189" s="9" t="n">
        <f aca="false">(G189+H189+I189)/E189</f>
        <v>0.0314360313315927</v>
      </c>
    </row>
    <row r="190" customFormat="false" ht="14.25" hidden="false" customHeight="true" outlineLevel="0" collapsed="false">
      <c r="A190" s="5" t="s">
        <v>214</v>
      </c>
      <c r="B190" s="5" t="s">
        <v>18</v>
      </c>
      <c r="C190" s="6" t="n">
        <v>45786</v>
      </c>
      <c r="D190" s="5" t="s">
        <v>23</v>
      </c>
      <c r="E190" s="7" t="n">
        <v>81586</v>
      </c>
      <c r="F190" s="7" t="n">
        <v>63381</v>
      </c>
      <c r="G190" s="7" t="n">
        <v>4259</v>
      </c>
      <c r="H190" s="7" t="n">
        <v>802</v>
      </c>
      <c r="I190" s="7" t="n">
        <v>173</v>
      </c>
      <c r="J190" s="8" t="n">
        <v>8.26</v>
      </c>
      <c r="K190" s="9" t="n">
        <f aca="false">(G190+H190+I190)/E190</f>
        <v>0.0641531635329591</v>
      </c>
    </row>
    <row r="191" customFormat="false" ht="14.25" hidden="false" customHeight="true" outlineLevel="0" collapsed="false">
      <c r="A191" s="5" t="s">
        <v>215</v>
      </c>
      <c r="B191" s="5" t="s">
        <v>25</v>
      </c>
      <c r="C191" s="6" t="n">
        <v>45488</v>
      </c>
      <c r="D191" s="5" t="s">
        <v>23</v>
      </c>
      <c r="E191" s="7" t="n">
        <v>97177</v>
      </c>
      <c r="F191" s="7" t="n">
        <v>52716</v>
      </c>
      <c r="G191" s="7" t="n">
        <v>5662</v>
      </c>
      <c r="H191" s="7" t="n">
        <v>309</v>
      </c>
      <c r="I191" s="7" t="n">
        <v>1859</v>
      </c>
      <c r="J191" s="8" t="n">
        <v>14.85</v>
      </c>
      <c r="K191" s="9" t="n">
        <f aca="false">(G191+H191+I191)/E191</f>
        <v>0.0805746215668317</v>
      </c>
    </row>
    <row r="192" customFormat="false" ht="14.25" hidden="false" customHeight="true" outlineLevel="0" collapsed="false">
      <c r="A192" s="5" t="s">
        <v>216</v>
      </c>
      <c r="B192" s="5" t="s">
        <v>33</v>
      </c>
      <c r="C192" s="6" t="n">
        <v>45935</v>
      </c>
      <c r="D192" s="5" t="s">
        <v>23</v>
      </c>
      <c r="E192" s="7" t="n">
        <v>18258</v>
      </c>
      <c r="F192" s="7" t="n">
        <v>9480</v>
      </c>
      <c r="G192" s="7" t="n">
        <v>373</v>
      </c>
      <c r="H192" s="7" t="n">
        <v>131</v>
      </c>
      <c r="I192" s="7" t="n">
        <v>52</v>
      </c>
      <c r="J192" s="8" t="n">
        <v>5.86</v>
      </c>
      <c r="K192" s="9" t="n">
        <f aca="false">(G192+H192+I192)/E192</f>
        <v>0.0304524044254573</v>
      </c>
    </row>
    <row r="193" customFormat="false" ht="14.25" hidden="false" customHeight="true" outlineLevel="0" collapsed="false">
      <c r="A193" s="5" t="s">
        <v>217</v>
      </c>
      <c r="B193" s="5" t="s">
        <v>25</v>
      </c>
      <c r="C193" s="6" t="n">
        <v>45969</v>
      </c>
      <c r="D193" s="5" t="s">
        <v>26</v>
      </c>
      <c r="E193" s="7" t="n">
        <v>157187</v>
      </c>
      <c r="F193" s="7" t="n">
        <v>56359</v>
      </c>
      <c r="G193" s="7" t="n">
        <v>4523</v>
      </c>
      <c r="H193" s="7" t="n">
        <v>1286</v>
      </c>
      <c r="I193" s="7" t="n">
        <v>2163</v>
      </c>
      <c r="J193" s="8" t="n">
        <v>14.15</v>
      </c>
      <c r="K193" s="9" t="n">
        <f aca="false">(G193+H193+I193)/E193</f>
        <v>0.050716662319403</v>
      </c>
    </row>
    <row r="194" customFormat="false" ht="14.25" hidden="false" customHeight="true" outlineLevel="0" collapsed="false">
      <c r="A194" s="5" t="s">
        <v>218</v>
      </c>
      <c r="B194" s="5" t="s">
        <v>33</v>
      </c>
      <c r="C194" s="6" t="n">
        <v>45425</v>
      </c>
      <c r="D194" s="5" t="s">
        <v>15</v>
      </c>
      <c r="E194" s="7" t="n">
        <v>8356</v>
      </c>
      <c r="F194" s="7" t="n">
        <v>3947</v>
      </c>
      <c r="G194" s="7" t="n">
        <v>209</v>
      </c>
      <c r="H194" s="7" t="n">
        <v>94</v>
      </c>
      <c r="I194" s="7" t="n">
        <v>34</v>
      </c>
      <c r="J194" s="8" t="n">
        <v>8.54</v>
      </c>
      <c r="K194" s="9" t="n">
        <f aca="false">(G194+H194+I194)/E194</f>
        <v>0.0403303015797032</v>
      </c>
    </row>
    <row r="195" customFormat="false" ht="14.25" hidden="false" customHeight="true" outlineLevel="0" collapsed="false">
      <c r="A195" s="5" t="s">
        <v>219</v>
      </c>
      <c r="B195" s="5" t="s">
        <v>18</v>
      </c>
      <c r="C195" s="6" t="n">
        <v>45531</v>
      </c>
      <c r="D195" s="5" t="s">
        <v>19</v>
      </c>
      <c r="E195" s="7" t="n">
        <v>34583</v>
      </c>
      <c r="F195" s="7" t="n">
        <v>25017</v>
      </c>
      <c r="G195" s="7" t="n">
        <v>1675</v>
      </c>
      <c r="H195" s="7" t="n">
        <v>194</v>
      </c>
      <c r="I195" s="7" t="n">
        <v>169</v>
      </c>
      <c r="J195" s="8" t="n">
        <v>8.15</v>
      </c>
      <c r="K195" s="9" t="n">
        <f aca="false">(G195+H195+I195)/E195</f>
        <v>0.0589306884885638</v>
      </c>
    </row>
    <row r="196" customFormat="false" ht="14.25" hidden="false" customHeight="true" outlineLevel="0" collapsed="false">
      <c r="A196" s="5" t="s">
        <v>220</v>
      </c>
      <c r="B196" s="5" t="s">
        <v>18</v>
      </c>
      <c r="C196" s="6" t="n">
        <v>45587</v>
      </c>
      <c r="D196" s="5" t="s">
        <v>28</v>
      </c>
      <c r="E196" s="7" t="n">
        <v>36439</v>
      </c>
      <c r="F196" s="7" t="n">
        <v>25902</v>
      </c>
      <c r="G196" s="7" t="n">
        <v>1663</v>
      </c>
      <c r="H196" s="7" t="n">
        <v>143</v>
      </c>
      <c r="I196" s="7" t="n">
        <v>169</v>
      </c>
      <c r="J196" s="8" t="n">
        <v>7.62</v>
      </c>
      <c r="K196" s="9" t="n">
        <f aca="false">(G196+H196+I196)/E196</f>
        <v>0.0542001701473696</v>
      </c>
    </row>
    <row r="197" customFormat="false" ht="14.25" hidden="false" customHeight="true" outlineLevel="0" collapsed="false">
      <c r="A197" s="5" t="s">
        <v>221</v>
      </c>
      <c r="B197" s="5" t="s">
        <v>18</v>
      </c>
      <c r="C197" s="6" t="n">
        <v>45689</v>
      </c>
      <c r="D197" s="5" t="s">
        <v>28</v>
      </c>
      <c r="E197" s="7" t="n">
        <v>50268</v>
      </c>
      <c r="F197" s="7" t="n">
        <v>32640</v>
      </c>
      <c r="G197" s="7" t="n">
        <v>1559</v>
      </c>
      <c r="H197" s="7" t="n">
        <v>313</v>
      </c>
      <c r="I197" s="7" t="n">
        <v>34</v>
      </c>
      <c r="J197" s="8" t="n">
        <v>5.84</v>
      </c>
      <c r="K197" s="9" t="n">
        <f aca="false">(G197+H197+I197)/E197</f>
        <v>0.0379167661335243</v>
      </c>
    </row>
    <row r="198" customFormat="false" ht="14.25" hidden="false" customHeight="true" outlineLevel="0" collapsed="false">
      <c r="A198" s="5" t="s">
        <v>222</v>
      </c>
      <c r="B198" s="5" t="s">
        <v>25</v>
      </c>
      <c r="C198" s="6" t="n">
        <v>45841</v>
      </c>
      <c r="D198" s="5" t="s">
        <v>23</v>
      </c>
      <c r="E198" s="7" t="n">
        <v>185050</v>
      </c>
      <c r="F198" s="7" t="n">
        <v>80995</v>
      </c>
      <c r="G198" s="7" t="n">
        <v>6766</v>
      </c>
      <c r="H198" s="7" t="n">
        <v>1185</v>
      </c>
      <c r="I198" s="7" t="n">
        <v>3765</v>
      </c>
      <c r="J198" s="8" t="n">
        <v>14.47</v>
      </c>
      <c r="K198" s="9" t="n">
        <f aca="false">(G198+H198+I198)/E198</f>
        <v>0.0633126182112943</v>
      </c>
    </row>
    <row r="199" customFormat="false" ht="14.25" hidden="false" customHeight="true" outlineLevel="0" collapsed="false">
      <c r="A199" s="5" t="s">
        <v>223</v>
      </c>
      <c r="B199" s="5" t="s">
        <v>25</v>
      </c>
      <c r="C199" s="6" t="n">
        <v>45616</v>
      </c>
      <c r="D199" s="5" t="s">
        <v>26</v>
      </c>
      <c r="E199" s="7" t="n">
        <v>8500</v>
      </c>
      <c r="F199" s="7" t="n">
        <v>3932</v>
      </c>
      <c r="G199" s="7" t="n">
        <v>269</v>
      </c>
      <c r="H199" s="7" t="n">
        <v>68</v>
      </c>
      <c r="I199" s="7" t="n">
        <v>68</v>
      </c>
      <c r="J199" s="8" t="n">
        <v>10.3</v>
      </c>
      <c r="K199" s="9" t="n">
        <f aca="false">(G199+H199+I199)/E199</f>
        <v>0.0476470588235294</v>
      </c>
    </row>
    <row r="200" customFormat="false" ht="14.25" hidden="false" customHeight="true" outlineLevel="0" collapsed="false">
      <c r="A200" s="5" t="s">
        <v>224</v>
      </c>
      <c r="B200" s="5" t="s">
        <v>25</v>
      </c>
      <c r="C200" s="6" t="n">
        <v>45370</v>
      </c>
      <c r="D200" s="5" t="s">
        <v>26</v>
      </c>
      <c r="E200" s="7" t="n">
        <v>91908</v>
      </c>
      <c r="F200" s="7" t="n">
        <v>52531</v>
      </c>
      <c r="G200" s="7" t="n">
        <v>3626</v>
      </c>
      <c r="H200" s="7" t="n">
        <v>1542</v>
      </c>
      <c r="I200" s="7" t="n">
        <v>682</v>
      </c>
      <c r="J200" s="8" t="n">
        <v>11.14</v>
      </c>
      <c r="K200" s="9" t="n">
        <f aca="false">(G200+H200+I200)/E200</f>
        <v>0.063650607128868</v>
      </c>
    </row>
    <row r="201" customFormat="false" ht="14.25" hidden="false" customHeight="true" outlineLevel="0" collapsed="false">
      <c r="A201" s="5" t="s">
        <v>225</v>
      </c>
      <c r="B201" s="5" t="s">
        <v>25</v>
      </c>
      <c r="C201" s="6" t="n">
        <v>45621</v>
      </c>
      <c r="D201" s="5" t="s">
        <v>26</v>
      </c>
      <c r="E201" s="7" t="n">
        <v>413749</v>
      </c>
      <c r="F201" s="7" t="n">
        <v>151849</v>
      </c>
      <c r="G201" s="7" t="n">
        <v>8225</v>
      </c>
      <c r="H201" s="7" t="n">
        <v>3789</v>
      </c>
      <c r="I201" s="7" t="n">
        <v>6535</v>
      </c>
      <c r="J201" s="8" t="n">
        <v>12.22</v>
      </c>
      <c r="K201" s="9" t="n">
        <f aca="false">(G201+H201+I201)/E201</f>
        <v>0.044831528293724</v>
      </c>
    </row>
    <row r="202" customFormat="false" ht="14.25" hidden="false" customHeight="true" outlineLevel="0" collapsed="false">
      <c r="A202" s="5" t="s">
        <v>226</v>
      </c>
      <c r="B202" s="5" t="s">
        <v>25</v>
      </c>
      <c r="C202" s="6" t="n">
        <v>45837</v>
      </c>
      <c r="D202" s="5" t="s">
        <v>26</v>
      </c>
      <c r="E202" s="7" t="n">
        <v>9232</v>
      </c>
      <c r="F202" s="7" t="n">
        <v>5820</v>
      </c>
      <c r="G202" s="7" t="n">
        <v>537</v>
      </c>
      <c r="H202" s="7" t="n">
        <v>83</v>
      </c>
      <c r="I202" s="7" t="n">
        <v>63</v>
      </c>
      <c r="J202" s="8" t="n">
        <v>11.74</v>
      </c>
      <c r="K202" s="9" t="n">
        <f aca="false">(G202+H202+I202)/E202</f>
        <v>0.0739818024263432</v>
      </c>
    </row>
    <row r="203" customFormat="false" ht="14.25" hidden="false" customHeight="true" outlineLevel="0" collapsed="false">
      <c r="A203" s="5" t="s">
        <v>227</v>
      </c>
      <c r="B203" s="5" t="s">
        <v>33</v>
      </c>
      <c r="C203" s="6" t="n">
        <v>45636</v>
      </c>
      <c r="D203" s="5" t="s">
        <v>19</v>
      </c>
      <c r="E203" s="7" t="n">
        <v>11698</v>
      </c>
      <c r="F203" s="7" t="n">
        <v>6309</v>
      </c>
      <c r="G203" s="7" t="n">
        <v>309</v>
      </c>
      <c r="H203" s="7" t="n">
        <v>75</v>
      </c>
      <c r="I203" s="7" t="n">
        <v>89</v>
      </c>
      <c r="J203" s="8" t="n">
        <v>7.5</v>
      </c>
      <c r="K203" s="9" t="n">
        <f aca="false">(G203+H203+I203)/E203</f>
        <v>0.0404342622670542</v>
      </c>
    </row>
    <row r="204" customFormat="false" ht="14.25" hidden="false" customHeight="true" outlineLevel="0" collapsed="false">
      <c r="A204" s="5" t="s">
        <v>228</v>
      </c>
      <c r="B204" s="5" t="s">
        <v>25</v>
      </c>
      <c r="C204" s="6" t="n">
        <v>45866</v>
      </c>
      <c r="D204" s="5" t="s">
        <v>26</v>
      </c>
      <c r="E204" s="7" t="n">
        <v>224484</v>
      </c>
      <c r="F204" s="7" t="n">
        <v>155989</v>
      </c>
      <c r="G204" s="7" t="n">
        <v>12346</v>
      </c>
      <c r="H204" s="7" t="n">
        <v>838</v>
      </c>
      <c r="I204" s="7" t="n">
        <v>2127</v>
      </c>
      <c r="J204" s="8" t="n">
        <v>9.82</v>
      </c>
      <c r="K204" s="9" t="n">
        <f aca="false">(G204+H204+I204)/E204</f>
        <v>0.0682053063915468</v>
      </c>
    </row>
    <row r="205" customFormat="false" ht="14.25" hidden="false" customHeight="true" outlineLevel="0" collapsed="false">
      <c r="A205" s="5" t="s">
        <v>229</v>
      </c>
      <c r="B205" s="5" t="s">
        <v>25</v>
      </c>
      <c r="C205" s="6" t="n">
        <v>46004</v>
      </c>
      <c r="D205" s="5" t="s">
        <v>26</v>
      </c>
      <c r="E205" s="7" t="n">
        <v>199572</v>
      </c>
      <c r="F205" s="7" t="n">
        <v>69186</v>
      </c>
      <c r="G205" s="7" t="n">
        <v>2368</v>
      </c>
      <c r="H205" s="7" t="n">
        <v>369</v>
      </c>
      <c r="I205" s="7" t="n">
        <v>841</v>
      </c>
      <c r="J205" s="8" t="n">
        <v>5.17</v>
      </c>
      <c r="K205" s="9" t="n">
        <f aca="false">(G205+H205+I205)/E205</f>
        <v>0.0179283667047482</v>
      </c>
    </row>
    <row r="206" customFormat="false" ht="14.25" hidden="false" customHeight="true" outlineLevel="0" collapsed="false">
      <c r="A206" s="5" t="s">
        <v>230</v>
      </c>
      <c r="B206" s="5" t="s">
        <v>33</v>
      </c>
      <c r="C206" s="6" t="n">
        <v>45673</v>
      </c>
      <c r="D206" s="5" t="s">
        <v>15</v>
      </c>
      <c r="E206" s="7" t="n">
        <v>4192</v>
      </c>
      <c r="F206" s="7" t="n">
        <v>2166</v>
      </c>
      <c r="G206" s="7" t="n">
        <v>35</v>
      </c>
      <c r="H206" s="7" t="n">
        <v>19</v>
      </c>
      <c r="I206" s="7" t="n">
        <v>15</v>
      </c>
      <c r="J206" s="8" t="n">
        <v>3.19</v>
      </c>
      <c r="K206" s="9" t="n">
        <f aca="false">(G206+H206+I206)/E206</f>
        <v>0.0164599236641221</v>
      </c>
    </row>
    <row r="207" customFormat="false" ht="14.25" hidden="false" customHeight="true" outlineLevel="0" collapsed="false">
      <c r="A207" s="5" t="s">
        <v>231</v>
      </c>
      <c r="B207" s="5" t="s">
        <v>22</v>
      </c>
      <c r="C207" s="6" t="n">
        <v>45897</v>
      </c>
      <c r="D207" s="5" t="s">
        <v>19</v>
      </c>
      <c r="E207" s="7" t="n">
        <v>411</v>
      </c>
      <c r="F207" s="7" t="n">
        <v>283</v>
      </c>
      <c r="G207" s="7" t="n">
        <v>2</v>
      </c>
      <c r="H207" s="7" t="n">
        <v>2</v>
      </c>
      <c r="I207" s="7" t="n">
        <v>4</v>
      </c>
      <c r="J207" s="8" t="n">
        <v>2.83</v>
      </c>
      <c r="K207" s="9" t="n">
        <f aca="false">(G207+H207+I207)/E207</f>
        <v>0.0194647201946472</v>
      </c>
    </row>
    <row r="208" customFormat="false" ht="14.25" hidden="false" customHeight="true" outlineLevel="0" collapsed="false">
      <c r="A208" s="5" t="s">
        <v>232</v>
      </c>
      <c r="B208" s="5" t="s">
        <v>25</v>
      </c>
      <c r="C208" s="6" t="n">
        <v>45313</v>
      </c>
      <c r="D208" s="5" t="s">
        <v>23</v>
      </c>
      <c r="E208" s="7" t="n">
        <v>317455</v>
      </c>
      <c r="F208" s="7" t="n">
        <v>177637</v>
      </c>
      <c r="G208" s="7" t="n">
        <v>10516</v>
      </c>
      <c r="H208" s="7" t="n">
        <v>4747</v>
      </c>
      <c r="I208" s="7" t="n">
        <v>5219</v>
      </c>
      <c r="J208" s="8" t="n">
        <v>11.53</v>
      </c>
      <c r="K208" s="9" t="n">
        <f aca="false">(G208+H208+I208)/E208</f>
        <v>0.0645193806996267</v>
      </c>
    </row>
    <row r="209" customFormat="false" ht="14.25" hidden="false" customHeight="true" outlineLevel="0" collapsed="false">
      <c r="A209" s="5" t="s">
        <v>233</v>
      </c>
      <c r="B209" s="5" t="s">
        <v>22</v>
      </c>
      <c r="C209" s="6" t="n">
        <v>45468</v>
      </c>
      <c r="D209" s="5" t="s">
        <v>15</v>
      </c>
      <c r="E209" s="7" t="n">
        <v>23747</v>
      </c>
      <c r="F209" s="7" t="n">
        <v>13149</v>
      </c>
      <c r="G209" s="7" t="n">
        <v>283</v>
      </c>
      <c r="H209" s="7" t="n">
        <v>76</v>
      </c>
      <c r="I209" s="7" t="n">
        <v>215</v>
      </c>
      <c r="J209" s="8" t="n">
        <v>4.37</v>
      </c>
      <c r="K209" s="9" t="n">
        <f aca="false">(G209+H209+I209)/E209</f>
        <v>0.0241714742914895</v>
      </c>
    </row>
    <row r="210" customFormat="false" ht="14.25" hidden="false" customHeight="true" outlineLevel="0" collapsed="false">
      <c r="A210" s="5" t="s">
        <v>234</v>
      </c>
      <c r="B210" s="5" t="s">
        <v>25</v>
      </c>
      <c r="C210" s="6" t="n">
        <v>46007</v>
      </c>
      <c r="D210" s="5" t="s">
        <v>23</v>
      </c>
      <c r="E210" s="7" t="n">
        <v>272386</v>
      </c>
      <c r="F210" s="7" t="n">
        <v>146612</v>
      </c>
      <c r="G210" s="7" t="n">
        <v>6631</v>
      </c>
      <c r="H210" s="7" t="n">
        <v>1981</v>
      </c>
      <c r="I210" s="7" t="n">
        <v>1699</v>
      </c>
      <c r="J210" s="8" t="n">
        <v>7.03</v>
      </c>
      <c r="K210" s="9" t="n">
        <f aca="false">(G210+H210+I210)/E210</f>
        <v>0.0378543684330325</v>
      </c>
    </row>
    <row r="211" customFormat="false" ht="14.25" hidden="false" customHeight="true" outlineLevel="0" collapsed="false">
      <c r="A211" s="5" t="s">
        <v>235</v>
      </c>
      <c r="B211" s="5" t="s">
        <v>18</v>
      </c>
      <c r="C211" s="6" t="n">
        <v>45514</v>
      </c>
      <c r="D211" s="5" t="s">
        <v>28</v>
      </c>
      <c r="E211" s="7" t="n">
        <v>20635</v>
      </c>
      <c r="F211" s="7" t="n">
        <v>14246</v>
      </c>
      <c r="G211" s="7" t="n">
        <v>412</v>
      </c>
      <c r="H211" s="7" t="n">
        <v>41</v>
      </c>
      <c r="I211" s="7" t="n">
        <v>94</v>
      </c>
      <c r="J211" s="8" t="n">
        <v>3.84</v>
      </c>
      <c r="K211" s="9" t="n">
        <f aca="false">(G211+H211+I211)/E211</f>
        <v>0.0265083595832324</v>
      </c>
    </row>
    <row r="212" customFormat="false" ht="14.25" hidden="false" customHeight="true" outlineLevel="0" collapsed="false">
      <c r="A212" s="5" t="s">
        <v>236</v>
      </c>
      <c r="B212" s="5" t="s">
        <v>25</v>
      </c>
      <c r="C212" s="6" t="n">
        <v>45422</v>
      </c>
      <c r="D212" s="5" t="s">
        <v>23</v>
      </c>
      <c r="E212" s="7" t="n">
        <v>512834</v>
      </c>
      <c r="F212" s="7" t="n">
        <v>214531</v>
      </c>
      <c r="G212" s="7" t="n">
        <v>20672</v>
      </c>
      <c r="H212" s="7" t="n">
        <v>2667</v>
      </c>
      <c r="I212" s="7" t="n">
        <v>9009</v>
      </c>
      <c r="J212" s="8" t="n">
        <v>15.08</v>
      </c>
      <c r="K212" s="9" t="n">
        <f aca="false">(G212+H212+I212)/E212</f>
        <v>0.0630769410764497</v>
      </c>
    </row>
    <row r="213" customFormat="false" ht="14.25" hidden="false" customHeight="true" outlineLevel="0" collapsed="false">
      <c r="A213" s="5" t="s">
        <v>237</v>
      </c>
      <c r="B213" s="5" t="s">
        <v>18</v>
      </c>
      <c r="C213" s="6" t="n">
        <v>45392</v>
      </c>
      <c r="D213" s="5" t="s">
        <v>23</v>
      </c>
      <c r="E213" s="7" t="n">
        <v>81281</v>
      </c>
      <c r="F213" s="7" t="n">
        <v>55901</v>
      </c>
      <c r="G213" s="7" t="n">
        <v>3726</v>
      </c>
      <c r="H213" s="7" t="n">
        <v>831</v>
      </c>
      <c r="I213" s="7" t="n">
        <v>268</v>
      </c>
      <c r="J213" s="8" t="n">
        <v>8.63</v>
      </c>
      <c r="K213" s="9" t="n">
        <f aca="false">(G213+H213+I213)/E213</f>
        <v>0.0593619665112388</v>
      </c>
    </row>
    <row r="214" customFormat="false" ht="14.25" hidden="false" customHeight="true" outlineLevel="0" collapsed="false">
      <c r="A214" s="5" t="s">
        <v>238</v>
      </c>
      <c r="B214" s="5" t="s">
        <v>33</v>
      </c>
      <c r="C214" s="6" t="n">
        <v>45817</v>
      </c>
      <c r="D214" s="5" t="s">
        <v>19</v>
      </c>
      <c r="E214" s="7" t="n">
        <v>9256</v>
      </c>
      <c r="F214" s="7" t="n">
        <v>6568</v>
      </c>
      <c r="G214" s="7" t="n">
        <v>314</v>
      </c>
      <c r="H214" s="7" t="n">
        <v>111</v>
      </c>
      <c r="I214" s="7" t="n">
        <v>79</v>
      </c>
      <c r="J214" s="8" t="n">
        <v>7.67</v>
      </c>
      <c r="K214" s="9" t="n">
        <f aca="false">(G214+H214+I214)/E214</f>
        <v>0.0544511668107174</v>
      </c>
    </row>
    <row r="215" customFormat="false" ht="14.25" hidden="false" customHeight="true" outlineLevel="0" collapsed="false">
      <c r="A215" s="5" t="s">
        <v>239</v>
      </c>
      <c r="B215" s="5" t="s">
        <v>33</v>
      </c>
      <c r="C215" s="6" t="n">
        <v>45525</v>
      </c>
      <c r="D215" s="5" t="s">
        <v>19</v>
      </c>
      <c r="E215" s="7" t="n">
        <v>19703</v>
      </c>
      <c r="F215" s="7" t="n">
        <v>15340</v>
      </c>
      <c r="G215" s="7" t="n">
        <v>703</v>
      </c>
      <c r="H215" s="7" t="n">
        <v>148</v>
      </c>
      <c r="I215" s="7" t="n">
        <v>216</v>
      </c>
      <c r="J215" s="8" t="n">
        <v>6.96</v>
      </c>
      <c r="K215" s="9" t="n">
        <f aca="false">(G215+H215+I215)/E215</f>
        <v>0.0541541897173019</v>
      </c>
    </row>
    <row r="216" customFormat="false" ht="14.25" hidden="false" customHeight="true" outlineLevel="0" collapsed="false">
      <c r="A216" s="5" t="s">
        <v>240</v>
      </c>
      <c r="B216" s="5" t="s">
        <v>18</v>
      </c>
      <c r="C216" s="6" t="n">
        <v>45876</v>
      </c>
      <c r="D216" s="5" t="s">
        <v>28</v>
      </c>
      <c r="E216" s="7" t="n">
        <v>55527</v>
      </c>
      <c r="F216" s="7" t="n">
        <v>38154</v>
      </c>
      <c r="G216" s="7" t="n">
        <v>2627</v>
      </c>
      <c r="H216" s="7" t="n">
        <v>441</v>
      </c>
      <c r="I216" s="7" t="n">
        <v>77</v>
      </c>
      <c r="J216" s="8" t="n">
        <v>8.24</v>
      </c>
      <c r="K216" s="9" t="n">
        <f aca="false">(G216+H216+I216)/E216</f>
        <v>0.056639112503827</v>
      </c>
    </row>
    <row r="217" customFormat="false" ht="14.25" hidden="false" customHeight="true" outlineLevel="0" collapsed="false">
      <c r="A217" s="5" t="s">
        <v>241</v>
      </c>
      <c r="B217" s="5" t="s">
        <v>18</v>
      </c>
      <c r="C217" s="6" t="n">
        <v>45941</v>
      </c>
      <c r="D217" s="5" t="s">
        <v>19</v>
      </c>
      <c r="E217" s="7" t="n">
        <v>2387</v>
      </c>
      <c r="F217" s="7" t="n">
        <v>1855</v>
      </c>
      <c r="G217" s="7" t="n">
        <v>38</v>
      </c>
      <c r="H217" s="7" t="n">
        <v>17</v>
      </c>
      <c r="I217" s="7" t="n">
        <v>11</v>
      </c>
      <c r="J217" s="8" t="n">
        <v>3.56</v>
      </c>
      <c r="K217" s="9" t="n">
        <f aca="false">(G217+H217+I217)/E217</f>
        <v>0.0276497695852535</v>
      </c>
    </row>
    <row r="218" customFormat="false" ht="14.25" hidden="false" customHeight="true" outlineLevel="0" collapsed="false">
      <c r="A218" s="5" t="s">
        <v>242</v>
      </c>
      <c r="B218" s="5" t="s">
        <v>18</v>
      </c>
      <c r="C218" s="6" t="n">
        <v>45330</v>
      </c>
      <c r="D218" s="5" t="s">
        <v>23</v>
      </c>
      <c r="E218" s="7" t="n">
        <v>84477</v>
      </c>
      <c r="F218" s="7" t="n">
        <v>42276</v>
      </c>
      <c r="G218" s="7" t="n">
        <v>1552</v>
      </c>
      <c r="H218" s="7" t="n">
        <v>374</v>
      </c>
      <c r="I218" s="7" t="n">
        <v>331</v>
      </c>
      <c r="J218" s="8" t="n">
        <v>5.34</v>
      </c>
      <c r="K218" s="9" t="n">
        <f aca="false">(G218+H218+I218)/E218</f>
        <v>0.0267173313446264</v>
      </c>
    </row>
    <row r="219" customFormat="false" ht="14.25" hidden="false" customHeight="true" outlineLevel="0" collapsed="false">
      <c r="A219" s="5" t="s">
        <v>243</v>
      </c>
      <c r="B219" s="5" t="s">
        <v>18</v>
      </c>
      <c r="C219" s="6" t="n">
        <v>45312</v>
      </c>
      <c r="D219" s="5" t="s">
        <v>23</v>
      </c>
      <c r="E219" s="7" t="n">
        <v>21725</v>
      </c>
      <c r="F219" s="7" t="n">
        <v>10248</v>
      </c>
      <c r="G219" s="7" t="n">
        <v>233</v>
      </c>
      <c r="H219" s="7" t="n">
        <v>103</v>
      </c>
      <c r="I219" s="7" t="n">
        <v>87</v>
      </c>
      <c r="J219" s="8" t="n">
        <v>4.13</v>
      </c>
      <c r="K219" s="9" t="n">
        <f aca="false">(G219+H219+I219)/E219</f>
        <v>0.0194706559263521</v>
      </c>
    </row>
    <row r="220" customFormat="false" ht="14.25" hidden="false" customHeight="true" outlineLevel="0" collapsed="false">
      <c r="A220" s="5" t="s">
        <v>244</v>
      </c>
      <c r="B220" s="5" t="s">
        <v>33</v>
      </c>
      <c r="C220" s="6" t="n">
        <v>45584</v>
      </c>
      <c r="D220" s="5" t="s">
        <v>23</v>
      </c>
      <c r="E220" s="7" t="n">
        <v>19152</v>
      </c>
      <c r="F220" s="7" t="n">
        <v>8690</v>
      </c>
      <c r="G220" s="7" t="n">
        <v>181</v>
      </c>
      <c r="H220" s="7" t="n">
        <v>50</v>
      </c>
      <c r="I220" s="7" t="n">
        <v>69</v>
      </c>
      <c r="J220" s="8" t="n">
        <v>3.45</v>
      </c>
      <c r="K220" s="9" t="n">
        <f aca="false">(G220+H220+I220)/E220</f>
        <v>0.0156641604010025</v>
      </c>
    </row>
    <row r="221" customFormat="false" ht="14.25" hidden="false" customHeight="true" outlineLevel="0" collapsed="false">
      <c r="A221" s="5" t="s">
        <v>245</v>
      </c>
      <c r="B221" s="5" t="s">
        <v>18</v>
      </c>
      <c r="C221" s="6" t="n">
        <v>45627</v>
      </c>
      <c r="D221" s="5" t="s">
        <v>26</v>
      </c>
      <c r="E221" s="7" t="n">
        <v>69366</v>
      </c>
      <c r="F221" s="7" t="n">
        <v>28833</v>
      </c>
      <c r="G221" s="7" t="n">
        <v>797</v>
      </c>
      <c r="H221" s="7" t="n">
        <v>111</v>
      </c>
      <c r="I221" s="7" t="n">
        <v>260</v>
      </c>
      <c r="J221" s="8" t="n">
        <v>4.05</v>
      </c>
      <c r="K221" s="9" t="n">
        <f aca="false">(G221+H221+I221)/E221</f>
        <v>0.0168382204538246</v>
      </c>
    </row>
    <row r="222" customFormat="false" ht="14.25" hidden="false" customHeight="true" outlineLevel="0" collapsed="false">
      <c r="A222" s="5" t="s">
        <v>246</v>
      </c>
      <c r="B222" s="5" t="s">
        <v>25</v>
      </c>
      <c r="C222" s="6" t="n">
        <v>46014</v>
      </c>
      <c r="D222" s="5" t="s">
        <v>23</v>
      </c>
      <c r="E222" s="7" t="n">
        <v>309128</v>
      </c>
      <c r="F222" s="7" t="n">
        <v>121115</v>
      </c>
      <c r="G222" s="7" t="n">
        <v>6789</v>
      </c>
      <c r="H222" s="7" t="n">
        <v>2965</v>
      </c>
      <c r="I222" s="7" t="n">
        <v>5670</v>
      </c>
      <c r="J222" s="8" t="n">
        <v>12.74</v>
      </c>
      <c r="K222" s="9" t="n">
        <f aca="false">(G222+H222+I222)/E222</f>
        <v>0.0498951890479025</v>
      </c>
    </row>
    <row r="223" customFormat="false" ht="14.25" hidden="false" customHeight="true" outlineLevel="0" collapsed="false">
      <c r="A223" s="5" t="s">
        <v>247</v>
      </c>
      <c r="B223" s="5" t="s">
        <v>18</v>
      </c>
      <c r="C223" s="6" t="n">
        <v>45884</v>
      </c>
      <c r="D223" s="5" t="s">
        <v>28</v>
      </c>
      <c r="E223" s="7" t="n">
        <v>35463</v>
      </c>
      <c r="F223" s="7" t="n">
        <v>16917</v>
      </c>
      <c r="G223" s="7" t="n">
        <v>948</v>
      </c>
      <c r="H223" s="7" t="n">
        <v>107</v>
      </c>
      <c r="I223" s="7" t="n">
        <v>99</v>
      </c>
      <c r="J223" s="8" t="n">
        <v>6.82</v>
      </c>
      <c r="K223" s="9" t="n">
        <f aca="false">(G223+H223+I223)/E223</f>
        <v>0.0325409581817669</v>
      </c>
    </row>
    <row r="224" customFormat="false" ht="14.25" hidden="false" customHeight="true" outlineLevel="0" collapsed="false">
      <c r="A224" s="5" t="s">
        <v>248</v>
      </c>
      <c r="B224" s="5" t="s">
        <v>25</v>
      </c>
      <c r="C224" s="6" t="n">
        <v>45502</v>
      </c>
      <c r="D224" s="5" t="s">
        <v>26</v>
      </c>
      <c r="E224" s="7" t="n">
        <v>346346</v>
      </c>
      <c r="F224" s="7" t="n">
        <v>130370</v>
      </c>
      <c r="G224" s="7" t="n">
        <v>12843</v>
      </c>
      <c r="H224" s="7" t="n">
        <v>1781</v>
      </c>
      <c r="I224" s="7" t="n">
        <v>5513</v>
      </c>
      <c r="J224" s="8" t="n">
        <v>15.45</v>
      </c>
      <c r="K224" s="9" t="n">
        <f aca="false">(G224+H224+I224)/E224</f>
        <v>0.0581412806846333</v>
      </c>
    </row>
    <row r="225" customFormat="false" ht="14.25" hidden="false" customHeight="true" outlineLevel="0" collapsed="false">
      <c r="A225" s="5" t="s">
        <v>249</v>
      </c>
      <c r="B225" s="5" t="s">
        <v>14</v>
      </c>
      <c r="C225" s="6" t="n">
        <v>45599</v>
      </c>
      <c r="D225" s="5" t="s">
        <v>19</v>
      </c>
      <c r="E225" s="7" t="n">
        <v>1243</v>
      </c>
      <c r="F225" s="7" t="n">
        <v>485</v>
      </c>
      <c r="G225" s="7" t="n">
        <v>24</v>
      </c>
      <c r="H225" s="7" t="n">
        <v>9</v>
      </c>
      <c r="I225" s="7" t="n">
        <v>9</v>
      </c>
      <c r="J225" s="8" t="n">
        <v>8.66</v>
      </c>
      <c r="K225" s="9" t="n">
        <f aca="false">(G225+H225+I225)/E225</f>
        <v>0.0337892196299276</v>
      </c>
    </row>
    <row r="226" customFormat="false" ht="14.25" hidden="false" customHeight="true" outlineLevel="0" collapsed="false">
      <c r="A226" s="5" t="s">
        <v>250</v>
      </c>
      <c r="B226" s="5" t="s">
        <v>25</v>
      </c>
      <c r="C226" s="6" t="n">
        <v>45359</v>
      </c>
      <c r="D226" s="5" t="s">
        <v>26</v>
      </c>
      <c r="E226" s="7" t="n">
        <v>67913</v>
      </c>
      <c r="F226" s="7" t="n">
        <v>33045</v>
      </c>
      <c r="G226" s="7" t="n">
        <v>2727</v>
      </c>
      <c r="H226" s="7" t="n">
        <v>402</v>
      </c>
      <c r="I226" s="7" t="n">
        <v>1198</v>
      </c>
      <c r="J226" s="8" t="n">
        <v>13.09</v>
      </c>
      <c r="K226" s="9" t="n">
        <f aca="false">(G226+H226+I226)/E226</f>
        <v>0.0637138692150251</v>
      </c>
    </row>
    <row r="227" customFormat="false" ht="14.25" hidden="false" customHeight="true" outlineLevel="0" collapsed="false">
      <c r="A227" s="5" t="s">
        <v>251</v>
      </c>
      <c r="B227" s="5" t="s">
        <v>18</v>
      </c>
      <c r="C227" s="6" t="n">
        <v>45610</v>
      </c>
      <c r="D227" s="5" t="s">
        <v>19</v>
      </c>
      <c r="E227" s="7" t="n">
        <v>22677</v>
      </c>
      <c r="F227" s="7" t="n">
        <v>15868</v>
      </c>
      <c r="G227" s="7" t="n">
        <v>334</v>
      </c>
      <c r="H227" s="7" t="n">
        <v>211</v>
      </c>
      <c r="I227" s="7" t="n">
        <v>112</v>
      </c>
      <c r="J227" s="8" t="n">
        <v>4.14</v>
      </c>
      <c r="K227" s="9" t="n">
        <f aca="false">(G227+H227+I227)/E227</f>
        <v>0.0289720862547956</v>
      </c>
    </row>
    <row r="228" customFormat="false" ht="14.25" hidden="false" customHeight="true" outlineLevel="0" collapsed="false">
      <c r="A228" s="5" t="s">
        <v>252</v>
      </c>
      <c r="B228" s="5" t="s">
        <v>18</v>
      </c>
      <c r="C228" s="6" t="n">
        <v>45419</v>
      </c>
      <c r="D228" s="5" t="s">
        <v>26</v>
      </c>
      <c r="E228" s="7" t="n">
        <v>69409</v>
      </c>
      <c r="F228" s="7" t="n">
        <v>48074</v>
      </c>
      <c r="G228" s="7" t="n">
        <v>1798</v>
      </c>
      <c r="H228" s="7" t="n">
        <v>526</v>
      </c>
      <c r="I228" s="7" t="n">
        <v>444</v>
      </c>
      <c r="J228" s="8" t="n">
        <v>5.76</v>
      </c>
      <c r="K228" s="9" t="n">
        <f aca="false">(G228+H228+I228)/E228</f>
        <v>0.0398795545246294</v>
      </c>
    </row>
    <row r="229" customFormat="false" ht="14.25" hidden="false" customHeight="true" outlineLevel="0" collapsed="false">
      <c r="A229" s="5" t="s">
        <v>253</v>
      </c>
      <c r="B229" s="5" t="s">
        <v>18</v>
      </c>
      <c r="C229" s="6" t="n">
        <v>45928</v>
      </c>
      <c r="D229" s="5" t="s">
        <v>26</v>
      </c>
      <c r="E229" s="7" t="n">
        <v>84665</v>
      </c>
      <c r="F229" s="7" t="n">
        <v>39276</v>
      </c>
      <c r="G229" s="7" t="n">
        <v>2976</v>
      </c>
      <c r="H229" s="7" t="n">
        <v>361</v>
      </c>
      <c r="I229" s="7" t="n">
        <v>291</v>
      </c>
      <c r="J229" s="8" t="n">
        <v>9.24</v>
      </c>
      <c r="K229" s="9" t="n">
        <f aca="false">(G229+H229+I229)/E229</f>
        <v>0.0428512372290793</v>
      </c>
    </row>
    <row r="230" customFormat="false" ht="14.25" hidden="false" customHeight="true" outlineLevel="0" collapsed="false">
      <c r="A230" s="5" t="s">
        <v>254</v>
      </c>
      <c r="B230" s="5" t="s">
        <v>18</v>
      </c>
      <c r="C230" s="6" t="n">
        <v>45564</v>
      </c>
      <c r="D230" s="5" t="s">
        <v>23</v>
      </c>
      <c r="E230" s="7" t="n">
        <v>69804</v>
      </c>
      <c r="F230" s="7" t="n">
        <v>44744</v>
      </c>
      <c r="G230" s="7" t="n">
        <v>2608</v>
      </c>
      <c r="H230" s="7" t="n">
        <v>114</v>
      </c>
      <c r="I230" s="7" t="n">
        <v>104</v>
      </c>
      <c r="J230" s="8" t="n">
        <v>6.32</v>
      </c>
      <c r="K230" s="9" t="n">
        <f aca="false">(G230+H230+I230)/E230</f>
        <v>0.0404847859721506</v>
      </c>
    </row>
    <row r="231" customFormat="false" ht="14.25" hidden="false" customHeight="true" outlineLevel="0" collapsed="false">
      <c r="A231" s="5" t="s">
        <v>255</v>
      </c>
      <c r="B231" s="5" t="s">
        <v>33</v>
      </c>
      <c r="C231" s="6" t="n">
        <v>46003</v>
      </c>
      <c r="D231" s="5" t="s">
        <v>19</v>
      </c>
      <c r="E231" s="7" t="n">
        <v>12708</v>
      </c>
      <c r="F231" s="7" t="n">
        <v>7249</v>
      </c>
      <c r="G231" s="7" t="n">
        <v>182</v>
      </c>
      <c r="H231" s="7" t="n">
        <v>120</v>
      </c>
      <c r="I231" s="7" t="n">
        <v>98</v>
      </c>
      <c r="J231" s="8" t="n">
        <v>5.52</v>
      </c>
      <c r="K231" s="9" t="n">
        <f aca="false">(G231+H231+I231)/E231</f>
        <v>0.0314762354422411</v>
      </c>
    </row>
    <row r="232" customFormat="false" ht="14.25" hidden="false" customHeight="true" outlineLevel="0" collapsed="false">
      <c r="A232" s="5" t="s">
        <v>256</v>
      </c>
      <c r="B232" s="5" t="s">
        <v>18</v>
      </c>
      <c r="C232" s="6" t="n">
        <v>45822</v>
      </c>
      <c r="D232" s="5" t="s">
        <v>26</v>
      </c>
      <c r="E232" s="7" t="n">
        <v>25969</v>
      </c>
      <c r="F232" s="7" t="n">
        <v>19451</v>
      </c>
      <c r="G232" s="7" t="n">
        <v>1525</v>
      </c>
      <c r="H232" s="7" t="n">
        <v>137</v>
      </c>
      <c r="I232" s="7" t="n">
        <v>120</v>
      </c>
      <c r="J232" s="8" t="n">
        <v>9.16</v>
      </c>
      <c r="K232" s="9" t="n">
        <f aca="false">(G232+H232+I232)/E232</f>
        <v>0.0686202780237976</v>
      </c>
    </row>
    <row r="233" customFormat="false" ht="14.25" hidden="false" customHeight="true" outlineLevel="0" collapsed="false">
      <c r="A233" s="5" t="s">
        <v>257</v>
      </c>
      <c r="B233" s="5" t="s">
        <v>14</v>
      </c>
      <c r="C233" s="6" t="n">
        <v>45293</v>
      </c>
      <c r="D233" s="5" t="s">
        <v>15</v>
      </c>
      <c r="E233" s="7" t="n">
        <v>24835</v>
      </c>
      <c r="F233" s="7" t="n">
        <v>13405</v>
      </c>
      <c r="G233" s="7" t="n">
        <v>446</v>
      </c>
      <c r="H233" s="7" t="n">
        <v>139</v>
      </c>
      <c r="I233" s="7" t="n">
        <v>131</v>
      </c>
      <c r="J233" s="8" t="n">
        <v>5.34</v>
      </c>
      <c r="K233" s="9" t="n">
        <f aca="false">(G233+H233+I233)/E233</f>
        <v>0.0288302798469901</v>
      </c>
    </row>
    <row r="234" customFormat="false" ht="14.25" hidden="false" customHeight="true" outlineLevel="0" collapsed="false">
      <c r="A234" s="5" t="s">
        <v>258</v>
      </c>
      <c r="B234" s="5" t="s">
        <v>18</v>
      </c>
      <c r="C234" s="6" t="n">
        <v>45936</v>
      </c>
      <c r="D234" s="5" t="s">
        <v>23</v>
      </c>
      <c r="E234" s="7" t="n">
        <v>69623</v>
      </c>
      <c r="F234" s="7" t="n">
        <v>43901</v>
      </c>
      <c r="G234" s="7" t="n">
        <v>2257</v>
      </c>
      <c r="H234" s="7" t="n">
        <v>589</v>
      </c>
      <c r="I234" s="7" t="n">
        <v>45</v>
      </c>
      <c r="J234" s="8" t="n">
        <v>6.59</v>
      </c>
      <c r="K234" s="9" t="n">
        <f aca="false">(G234+H234+I234)/E234</f>
        <v>0.0415236344311506</v>
      </c>
    </row>
    <row r="235" customFormat="false" ht="14.25" hidden="false" customHeight="true" outlineLevel="0" collapsed="false">
      <c r="A235" s="5" t="s">
        <v>259</v>
      </c>
      <c r="B235" s="5" t="s">
        <v>18</v>
      </c>
      <c r="C235" s="6" t="n">
        <v>45691</v>
      </c>
      <c r="D235" s="5" t="s">
        <v>28</v>
      </c>
      <c r="E235" s="7" t="n">
        <v>36545</v>
      </c>
      <c r="F235" s="7" t="n">
        <v>18868</v>
      </c>
      <c r="G235" s="7" t="n">
        <v>832</v>
      </c>
      <c r="H235" s="7" t="n">
        <v>167</v>
      </c>
      <c r="I235" s="7" t="n">
        <v>73</v>
      </c>
      <c r="J235" s="8" t="n">
        <v>5.68</v>
      </c>
      <c r="K235" s="9" t="n">
        <f aca="false">(G235+H235+I235)/E235</f>
        <v>0.0293336981803256</v>
      </c>
    </row>
    <row r="236" customFormat="false" ht="14.25" hidden="false" customHeight="true" outlineLevel="0" collapsed="false">
      <c r="A236" s="5" t="s">
        <v>260</v>
      </c>
      <c r="B236" s="5" t="s">
        <v>14</v>
      </c>
      <c r="C236" s="6" t="n">
        <v>45734</v>
      </c>
      <c r="D236" s="5" t="s">
        <v>23</v>
      </c>
      <c r="E236" s="7" t="n">
        <v>12513</v>
      </c>
      <c r="F236" s="7" t="n">
        <v>4472</v>
      </c>
      <c r="G236" s="7" t="n">
        <v>199</v>
      </c>
      <c r="H236" s="7" t="n">
        <v>36</v>
      </c>
      <c r="I236" s="7" t="n">
        <v>127</v>
      </c>
      <c r="J236" s="8" t="n">
        <v>8.09</v>
      </c>
      <c r="K236" s="9" t="n">
        <f aca="false">(G236+H236+I236)/E236</f>
        <v>0.0289299128905938</v>
      </c>
    </row>
    <row r="237" customFormat="false" ht="14.25" hidden="false" customHeight="true" outlineLevel="0" collapsed="false">
      <c r="A237" s="5" t="s">
        <v>261</v>
      </c>
      <c r="B237" s="5" t="s">
        <v>14</v>
      </c>
      <c r="C237" s="6" t="n">
        <v>45305</v>
      </c>
      <c r="D237" s="5" t="s">
        <v>28</v>
      </c>
      <c r="E237" s="7" t="n">
        <v>33475</v>
      </c>
      <c r="F237" s="7" t="n">
        <v>17487</v>
      </c>
      <c r="G237" s="7" t="n">
        <v>781</v>
      </c>
      <c r="H237" s="7" t="n">
        <v>61</v>
      </c>
      <c r="I237" s="7" t="n">
        <v>302</v>
      </c>
      <c r="J237" s="8" t="n">
        <v>6.54</v>
      </c>
      <c r="K237" s="9" t="n">
        <f aca="false">(G237+H237+I237)/E237</f>
        <v>0.0341747572815534</v>
      </c>
    </row>
    <row r="238" customFormat="false" ht="14.25" hidden="false" customHeight="true" outlineLevel="0" collapsed="false">
      <c r="A238" s="5" t="s">
        <v>262</v>
      </c>
      <c r="B238" s="5" t="s">
        <v>14</v>
      </c>
      <c r="C238" s="6" t="n">
        <v>45655</v>
      </c>
      <c r="D238" s="5" t="s">
        <v>28</v>
      </c>
      <c r="E238" s="7" t="n">
        <v>32149</v>
      </c>
      <c r="F238" s="7" t="n">
        <v>17932</v>
      </c>
      <c r="G238" s="7" t="n">
        <v>199</v>
      </c>
      <c r="H238" s="7" t="n">
        <v>219</v>
      </c>
      <c r="I238" s="7" t="n">
        <v>496</v>
      </c>
      <c r="J238" s="8" t="n">
        <v>5.1</v>
      </c>
      <c r="K238" s="9" t="n">
        <f aca="false">(G238+H238+I238)/E238</f>
        <v>0.0284301222433046</v>
      </c>
    </row>
    <row r="239" customFormat="false" ht="14.25" hidden="false" customHeight="true" outlineLevel="0" collapsed="false">
      <c r="A239" s="5" t="s">
        <v>263</v>
      </c>
      <c r="B239" s="5" t="s">
        <v>14</v>
      </c>
      <c r="C239" s="6" t="n">
        <v>45865</v>
      </c>
      <c r="D239" s="5" t="s">
        <v>23</v>
      </c>
      <c r="E239" s="7" t="n">
        <v>59311</v>
      </c>
      <c r="F239" s="7" t="n">
        <v>38645</v>
      </c>
      <c r="G239" s="7" t="n">
        <v>1427</v>
      </c>
      <c r="H239" s="7" t="n">
        <v>178</v>
      </c>
      <c r="I239" s="7" t="n">
        <v>1097</v>
      </c>
      <c r="J239" s="8" t="n">
        <v>6.99</v>
      </c>
      <c r="K239" s="9" t="n">
        <f aca="false">(G239+H239+I239)/E239</f>
        <v>0.0455564735040718</v>
      </c>
    </row>
    <row r="240" customFormat="false" ht="14.25" hidden="false" customHeight="true" outlineLevel="0" collapsed="false">
      <c r="A240" s="5" t="s">
        <v>264</v>
      </c>
      <c r="B240" s="5" t="s">
        <v>22</v>
      </c>
      <c r="C240" s="6" t="n">
        <v>45734</v>
      </c>
      <c r="D240" s="5" t="s">
        <v>19</v>
      </c>
      <c r="E240" s="7" t="n">
        <v>6650</v>
      </c>
      <c r="F240" s="7" t="n">
        <v>4450</v>
      </c>
      <c r="G240" s="7" t="n">
        <v>88</v>
      </c>
      <c r="H240" s="7" t="n">
        <v>29</v>
      </c>
      <c r="I240" s="7" t="n">
        <v>30</v>
      </c>
      <c r="J240" s="8" t="n">
        <v>3.3</v>
      </c>
      <c r="K240" s="9" t="n">
        <f aca="false">(G240+H240+I240)/E240</f>
        <v>0.0221052631578947</v>
      </c>
    </row>
    <row r="241" customFormat="false" ht="14.25" hidden="false" customHeight="true" outlineLevel="0" collapsed="false">
      <c r="A241" s="5" t="s">
        <v>265</v>
      </c>
      <c r="B241" s="5" t="s">
        <v>14</v>
      </c>
      <c r="C241" s="6" t="n">
        <v>45791</v>
      </c>
      <c r="D241" s="5" t="s">
        <v>28</v>
      </c>
      <c r="E241" s="7" t="n">
        <v>1657</v>
      </c>
      <c r="F241" s="7" t="n">
        <v>1073</v>
      </c>
      <c r="G241" s="7" t="n">
        <v>37</v>
      </c>
      <c r="H241" s="7" t="n">
        <v>10</v>
      </c>
      <c r="I241" s="7" t="n">
        <v>23</v>
      </c>
      <c r="J241" s="8" t="n">
        <v>6.52</v>
      </c>
      <c r="K241" s="9" t="n">
        <f aca="false">(G241+H241+I241)/E241</f>
        <v>0.0422450211225106</v>
      </c>
    </row>
    <row r="242" customFormat="false" ht="14.25" hidden="false" customHeight="true" outlineLevel="0" collapsed="false">
      <c r="A242" s="5" t="s">
        <v>266</v>
      </c>
      <c r="B242" s="5" t="s">
        <v>25</v>
      </c>
      <c r="C242" s="6" t="n">
        <v>45445</v>
      </c>
      <c r="D242" s="5" t="s">
        <v>23</v>
      </c>
      <c r="E242" s="7" t="n">
        <v>108505</v>
      </c>
      <c r="F242" s="7" t="n">
        <v>70144</v>
      </c>
      <c r="G242" s="7" t="n">
        <v>2978</v>
      </c>
      <c r="H242" s="7" t="n">
        <v>1107</v>
      </c>
      <c r="I242" s="7" t="n">
        <v>2855</v>
      </c>
      <c r="J242" s="8" t="n">
        <v>9.89</v>
      </c>
      <c r="K242" s="9" t="n">
        <f aca="false">(G242+H242+I242)/E242</f>
        <v>0.0639601861665361</v>
      </c>
    </row>
    <row r="243" customFormat="false" ht="14.25" hidden="false" customHeight="true" outlineLevel="0" collapsed="false">
      <c r="A243" s="5" t="s">
        <v>267</v>
      </c>
      <c r="B243" s="5" t="s">
        <v>18</v>
      </c>
      <c r="C243" s="6" t="n">
        <v>45465</v>
      </c>
      <c r="D243" s="5" t="s">
        <v>28</v>
      </c>
      <c r="E243" s="7" t="n">
        <v>51565</v>
      </c>
      <c r="F243" s="7" t="n">
        <v>36906</v>
      </c>
      <c r="G243" s="7" t="n">
        <v>2329</v>
      </c>
      <c r="H243" s="7" t="n">
        <v>388</v>
      </c>
      <c r="I243" s="7" t="n">
        <v>296</v>
      </c>
      <c r="J243" s="8" t="n">
        <v>8.16</v>
      </c>
      <c r="K243" s="9" t="n">
        <f aca="false">(G243+H243+I243)/E243</f>
        <v>0.0584311063706002</v>
      </c>
    </row>
    <row r="244" customFormat="false" ht="14.25" hidden="false" customHeight="true" outlineLevel="0" collapsed="false">
      <c r="A244" s="5" t="s">
        <v>268</v>
      </c>
      <c r="B244" s="5" t="s">
        <v>25</v>
      </c>
      <c r="C244" s="6" t="n">
        <v>45998</v>
      </c>
      <c r="D244" s="5" t="s">
        <v>23</v>
      </c>
      <c r="E244" s="7" t="n">
        <v>178037</v>
      </c>
      <c r="F244" s="7" t="n">
        <v>88521</v>
      </c>
      <c r="G244" s="7" t="n">
        <v>6409</v>
      </c>
      <c r="H244" s="7" t="n">
        <v>1924</v>
      </c>
      <c r="I244" s="7" t="n">
        <v>3605</v>
      </c>
      <c r="J244" s="8" t="n">
        <v>13.49</v>
      </c>
      <c r="K244" s="9" t="n">
        <f aca="false">(G244+H244+I244)/E244</f>
        <v>0.0670534776479047</v>
      </c>
    </row>
    <row r="245" customFormat="false" ht="14.25" hidden="false" customHeight="true" outlineLevel="0" collapsed="false">
      <c r="A245" s="5" t="s">
        <v>269</v>
      </c>
      <c r="B245" s="5" t="s">
        <v>25</v>
      </c>
      <c r="C245" s="6" t="n">
        <v>45304</v>
      </c>
      <c r="D245" s="5" t="s">
        <v>26</v>
      </c>
      <c r="E245" s="7" t="n">
        <v>113603</v>
      </c>
      <c r="F245" s="7" t="n">
        <v>66263</v>
      </c>
      <c r="G245" s="7" t="n">
        <v>2835</v>
      </c>
      <c r="H245" s="7" t="n">
        <v>1732</v>
      </c>
      <c r="I245" s="7" t="n">
        <v>2443</v>
      </c>
      <c r="J245" s="8" t="n">
        <v>10.58</v>
      </c>
      <c r="K245" s="9" t="n">
        <f aca="false">(G245+H245+I245)/E245</f>
        <v>0.0617061169159265</v>
      </c>
    </row>
    <row r="246" customFormat="false" ht="14.25" hidden="false" customHeight="true" outlineLevel="0" collapsed="false">
      <c r="A246" s="5" t="s">
        <v>270</v>
      </c>
      <c r="B246" s="5" t="s">
        <v>25</v>
      </c>
      <c r="C246" s="6" t="n">
        <v>45708</v>
      </c>
      <c r="D246" s="5" t="s">
        <v>23</v>
      </c>
      <c r="E246" s="7" t="n">
        <v>412062</v>
      </c>
      <c r="F246" s="7" t="n">
        <v>210624</v>
      </c>
      <c r="G246" s="7" t="n">
        <v>18048</v>
      </c>
      <c r="H246" s="7" t="n">
        <v>5421</v>
      </c>
      <c r="I246" s="7" t="n">
        <v>5811</v>
      </c>
      <c r="J246" s="8" t="n">
        <v>13.9</v>
      </c>
      <c r="K246" s="9" t="n">
        <f aca="false">(G246+H246+I246)/E246</f>
        <v>0.0710572680810169</v>
      </c>
    </row>
    <row r="247" customFormat="false" ht="14.25" hidden="false" customHeight="true" outlineLevel="0" collapsed="false">
      <c r="A247" s="5" t="s">
        <v>271</v>
      </c>
      <c r="B247" s="5" t="s">
        <v>25</v>
      </c>
      <c r="C247" s="6" t="n">
        <v>45972</v>
      </c>
      <c r="D247" s="5" t="s">
        <v>26</v>
      </c>
      <c r="E247" s="7" t="n">
        <v>167258</v>
      </c>
      <c r="F247" s="7" t="n">
        <v>105559</v>
      </c>
      <c r="G247" s="7" t="n">
        <v>7139</v>
      </c>
      <c r="H247" s="7" t="n">
        <v>1753</v>
      </c>
      <c r="I247" s="7" t="n">
        <v>3165</v>
      </c>
      <c r="J247" s="8" t="n">
        <v>11.42</v>
      </c>
      <c r="K247" s="9" t="n">
        <f aca="false">(G247+H247+I247)/E247</f>
        <v>0.0720862380274785</v>
      </c>
    </row>
    <row r="248" customFormat="false" ht="14.25" hidden="false" customHeight="true" outlineLevel="0" collapsed="false">
      <c r="A248" s="5" t="s">
        <v>272</v>
      </c>
      <c r="B248" s="5" t="s">
        <v>14</v>
      </c>
      <c r="C248" s="6" t="n">
        <v>45434</v>
      </c>
      <c r="D248" s="5" t="s">
        <v>19</v>
      </c>
      <c r="E248" s="7" t="n">
        <v>8453</v>
      </c>
      <c r="F248" s="7" t="n">
        <v>2744</v>
      </c>
      <c r="G248" s="7" t="n">
        <v>70</v>
      </c>
      <c r="H248" s="7" t="n">
        <v>52</v>
      </c>
      <c r="I248" s="7" t="n">
        <v>61</v>
      </c>
      <c r="J248" s="8" t="n">
        <v>6.67</v>
      </c>
      <c r="K248" s="9" t="n">
        <f aca="false">(G248+H248+I248)/E248</f>
        <v>0.0216491186560984</v>
      </c>
    </row>
    <row r="249" customFormat="false" ht="14.25" hidden="false" customHeight="true" outlineLevel="0" collapsed="false">
      <c r="A249" s="5" t="s">
        <v>273</v>
      </c>
      <c r="B249" s="5" t="s">
        <v>14</v>
      </c>
      <c r="C249" s="6" t="n">
        <v>45376</v>
      </c>
      <c r="D249" s="5" t="s">
        <v>19</v>
      </c>
      <c r="E249" s="7" t="n">
        <v>11670</v>
      </c>
      <c r="F249" s="7" t="n">
        <v>7549</v>
      </c>
      <c r="G249" s="7" t="n">
        <v>83</v>
      </c>
      <c r="H249" s="7" t="n">
        <v>121</v>
      </c>
      <c r="I249" s="7" t="n">
        <v>183</v>
      </c>
      <c r="J249" s="8" t="n">
        <v>5.13</v>
      </c>
      <c r="K249" s="9" t="n">
        <f aca="false">(G249+H249+I249)/E249</f>
        <v>0.0331619537275064</v>
      </c>
    </row>
    <row r="250" customFormat="false" ht="14.25" hidden="false" customHeight="true" outlineLevel="0" collapsed="false">
      <c r="A250" s="5" t="s">
        <v>274</v>
      </c>
      <c r="B250" s="5" t="s">
        <v>18</v>
      </c>
      <c r="C250" s="6" t="n">
        <v>45357</v>
      </c>
      <c r="D250" s="5" t="s">
        <v>26</v>
      </c>
      <c r="E250" s="7" t="n">
        <v>50804</v>
      </c>
      <c r="F250" s="7" t="n">
        <v>33333</v>
      </c>
      <c r="G250" s="7" t="n">
        <v>1967</v>
      </c>
      <c r="H250" s="7" t="n">
        <v>113</v>
      </c>
      <c r="I250" s="7" t="n">
        <v>54</v>
      </c>
      <c r="J250" s="8" t="n">
        <v>6.4</v>
      </c>
      <c r="K250" s="9" t="n">
        <f aca="false">(G250+H250+I250)/E250</f>
        <v>0.0420045665695615</v>
      </c>
    </row>
    <row r="251" customFormat="false" ht="14.25" hidden="false" customHeight="true" outlineLevel="0" collapsed="false">
      <c r="A251" s="5" t="s">
        <v>275</v>
      </c>
      <c r="B251" s="5" t="s">
        <v>22</v>
      </c>
      <c r="C251" s="6" t="n">
        <v>45361</v>
      </c>
      <c r="D251" s="5" t="s">
        <v>15</v>
      </c>
      <c r="E251" s="7" t="n">
        <v>19570</v>
      </c>
      <c r="F251" s="7" t="n">
        <v>15268</v>
      </c>
      <c r="G251" s="7" t="n">
        <v>93</v>
      </c>
      <c r="H251" s="7" t="n">
        <v>58</v>
      </c>
      <c r="I251" s="7" t="n">
        <v>43</v>
      </c>
      <c r="J251" s="8" t="n">
        <v>1.27</v>
      </c>
      <c r="K251" s="9" t="n">
        <f aca="false">(G251+H251+I251)/E251</f>
        <v>0.00991313234542667</v>
      </c>
    </row>
    <row r="252" customFormat="false" ht="14.25" hidden="false" customHeight="true" outlineLevel="0" collapsed="false">
      <c r="A252" s="5" t="s">
        <v>276</v>
      </c>
      <c r="B252" s="5" t="s">
        <v>18</v>
      </c>
      <c r="C252" s="6" t="n">
        <v>45960</v>
      </c>
      <c r="D252" s="5" t="s">
        <v>26</v>
      </c>
      <c r="E252" s="7" t="n">
        <v>25198</v>
      </c>
      <c r="F252" s="7" t="n">
        <v>11732</v>
      </c>
      <c r="G252" s="7" t="n">
        <v>764</v>
      </c>
      <c r="H252" s="7" t="n">
        <v>64</v>
      </c>
      <c r="I252" s="7" t="n">
        <v>115</v>
      </c>
      <c r="J252" s="8" t="n">
        <v>8.04</v>
      </c>
      <c r="K252" s="9" t="n">
        <f aca="false">(G252+H252+I252)/E252</f>
        <v>0.0374236050480197</v>
      </c>
    </row>
    <row r="253" customFormat="false" ht="14.25" hidden="false" customHeight="true" outlineLevel="0" collapsed="false">
      <c r="A253" s="5" t="s">
        <v>277</v>
      </c>
      <c r="B253" s="5" t="s">
        <v>33</v>
      </c>
      <c r="C253" s="6" t="n">
        <v>45797</v>
      </c>
      <c r="D253" s="5" t="s">
        <v>28</v>
      </c>
      <c r="E253" s="7" t="n">
        <v>1247</v>
      </c>
      <c r="F253" s="7" t="n">
        <v>713</v>
      </c>
      <c r="G253" s="7" t="n">
        <v>24</v>
      </c>
      <c r="H253" s="7" t="n">
        <v>16</v>
      </c>
      <c r="I253" s="7" t="n">
        <v>6</v>
      </c>
      <c r="J253" s="8" t="n">
        <v>6.45</v>
      </c>
      <c r="K253" s="9" t="n">
        <f aca="false">(G253+H253+I253)/E253</f>
        <v>0.0368885324779471</v>
      </c>
    </row>
    <row r="254" customFormat="false" ht="14.25" hidden="false" customHeight="true" outlineLevel="0" collapsed="false">
      <c r="A254" s="5" t="s">
        <v>278</v>
      </c>
      <c r="B254" s="5" t="s">
        <v>18</v>
      </c>
      <c r="C254" s="6" t="n">
        <v>45930</v>
      </c>
      <c r="D254" s="5" t="s">
        <v>28</v>
      </c>
      <c r="E254" s="7" t="n">
        <v>46649</v>
      </c>
      <c r="F254" s="7" t="n">
        <v>19555</v>
      </c>
      <c r="G254" s="7" t="n">
        <v>1372</v>
      </c>
      <c r="H254" s="7" t="n">
        <v>213</v>
      </c>
      <c r="I254" s="7" t="n">
        <v>143</v>
      </c>
      <c r="J254" s="8" t="n">
        <v>8.84</v>
      </c>
      <c r="K254" s="9" t="n">
        <f aca="false">(G254+H254+I254)/E254</f>
        <v>0.0370425946965637</v>
      </c>
    </row>
    <row r="255" customFormat="false" ht="14.25" hidden="false" customHeight="true" outlineLevel="0" collapsed="false">
      <c r="A255" s="5" t="s">
        <v>279</v>
      </c>
      <c r="B255" s="5" t="s">
        <v>18</v>
      </c>
      <c r="C255" s="6" t="n">
        <v>45888</v>
      </c>
      <c r="D255" s="5" t="s">
        <v>19</v>
      </c>
      <c r="E255" s="7" t="n">
        <v>35125</v>
      </c>
      <c r="F255" s="7" t="n">
        <v>22571</v>
      </c>
      <c r="G255" s="7" t="n">
        <v>1746</v>
      </c>
      <c r="H255" s="7" t="n">
        <v>128</v>
      </c>
      <c r="I255" s="7" t="n">
        <v>225</v>
      </c>
      <c r="J255" s="8" t="n">
        <v>9.3</v>
      </c>
      <c r="K255" s="9" t="n">
        <f aca="false">(G255+H255+I255)/E255</f>
        <v>0.0597580071174377</v>
      </c>
    </row>
    <row r="256" customFormat="false" ht="14.25" hidden="false" customHeight="true" outlineLevel="0" collapsed="false">
      <c r="A256" s="5" t="s">
        <v>280</v>
      </c>
      <c r="B256" s="5" t="s">
        <v>25</v>
      </c>
      <c r="C256" s="6" t="n">
        <v>45529</v>
      </c>
      <c r="D256" s="5" t="s">
        <v>26</v>
      </c>
      <c r="E256" s="7" t="n">
        <v>11249</v>
      </c>
      <c r="F256" s="7" t="n">
        <v>7065</v>
      </c>
      <c r="G256" s="7" t="n">
        <v>364</v>
      </c>
      <c r="H256" s="7" t="n">
        <v>173</v>
      </c>
      <c r="I256" s="7" t="n">
        <v>155</v>
      </c>
      <c r="J256" s="8" t="n">
        <v>9.79</v>
      </c>
      <c r="K256" s="9" t="n">
        <f aca="false">(G256+H256+I256)/E256</f>
        <v>0.061516579251489</v>
      </c>
    </row>
    <row r="257" customFormat="false" ht="14.25" hidden="false" customHeight="true" outlineLevel="0" collapsed="false">
      <c r="A257" s="5" t="s">
        <v>281</v>
      </c>
      <c r="B257" s="5" t="s">
        <v>14</v>
      </c>
      <c r="C257" s="6" t="n">
        <v>45964</v>
      </c>
      <c r="D257" s="5" t="s">
        <v>15</v>
      </c>
      <c r="E257" s="7" t="n">
        <v>24441</v>
      </c>
      <c r="F257" s="7" t="n">
        <v>10879</v>
      </c>
      <c r="G257" s="7" t="n">
        <v>337</v>
      </c>
      <c r="H257" s="7" t="n">
        <v>202</v>
      </c>
      <c r="I257" s="7" t="n">
        <v>75</v>
      </c>
      <c r="J257" s="8" t="n">
        <v>5.64</v>
      </c>
      <c r="K257" s="9" t="n">
        <f aca="false">(G257+H257+I257)/E257</f>
        <v>0.0251217216971482</v>
      </c>
    </row>
    <row r="258" customFormat="false" ht="14.25" hidden="false" customHeight="true" outlineLevel="0" collapsed="false">
      <c r="A258" s="5" t="s">
        <v>282</v>
      </c>
      <c r="B258" s="5" t="s">
        <v>33</v>
      </c>
      <c r="C258" s="6" t="n">
        <v>45929</v>
      </c>
      <c r="D258" s="5" t="s">
        <v>23</v>
      </c>
      <c r="E258" s="7" t="n">
        <v>2648</v>
      </c>
      <c r="F258" s="7" t="n">
        <v>1347</v>
      </c>
      <c r="G258" s="7" t="n">
        <v>49</v>
      </c>
      <c r="H258" s="7" t="n">
        <v>14</v>
      </c>
      <c r="I258" s="7" t="n">
        <v>17</v>
      </c>
      <c r="J258" s="8" t="n">
        <v>5.94</v>
      </c>
      <c r="K258" s="9" t="n">
        <f aca="false">(G258+H258+I258)/E258</f>
        <v>0.0302114803625378</v>
      </c>
    </row>
    <row r="259" customFormat="false" ht="14.25" hidden="false" customHeight="true" outlineLevel="0" collapsed="false">
      <c r="A259" s="5" t="s">
        <v>283</v>
      </c>
      <c r="B259" s="5" t="s">
        <v>14</v>
      </c>
      <c r="C259" s="6" t="n">
        <v>45575</v>
      </c>
      <c r="D259" s="5" t="s">
        <v>15</v>
      </c>
      <c r="E259" s="7" t="n">
        <v>8413</v>
      </c>
      <c r="F259" s="7" t="n">
        <v>5885</v>
      </c>
      <c r="G259" s="7" t="n">
        <v>210</v>
      </c>
      <c r="H259" s="7" t="n">
        <v>45</v>
      </c>
      <c r="I259" s="7" t="n">
        <v>95</v>
      </c>
      <c r="J259" s="8" t="n">
        <v>5.95</v>
      </c>
      <c r="K259" s="9" t="n">
        <f aca="false">(G259+H259+I259)/E259</f>
        <v>0.0416022821823369</v>
      </c>
    </row>
    <row r="260" customFormat="false" ht="14.25" hidden="false" customHeight="true" outlineLevel="0" collapsed="false">
      <c r="A260" s="5" t="s">
        <v>284</v>
      </c>
      <c r="B260" s="5" t="s">
        <v>18</v>
      </c>
      <c r="C260" s="6" t="n">
        <v>45491</v>
      </c>
      <c r="D260" s="5" t="s">
        <v>26</v>
      </c>
      <c r="E260" s="7" t="n">
        <v>87465</v>
      </c>
      <c r="F260" s="7" t="n">
        <v>46191</v>
      </c>
      <c r="G260" s="7" t="n">
        <v>2314</v>
      </c>
      <c r="H260" s="7" t="n">
        <v>107</v>
      </c>
      <c r="I260" s="7" t="n">
        <v>330</v>
      </c>
      <c r="J260" s="8" t="n">
        <v>5.96</v>
      </c>
      <c r="K260" s="9" t="n">
        <f aca="false">(G260+H260+I260)/E260</f>
        <v>0.031452581032413</v>
      </c>
    </row>
    <row r="261" customFormat="false" ht="14.25" hidden="false" customHeight="true" outlineLevel="0" collapsed="false">
      <c r="A261" s="5" t="s">
        <v>285</v>
      </c>
      <c r="B261" s="5" t="s">
        <v>25</v>
      </c>
      <c r="C261" s="6" t="n">
        <v>45595</v>
      </c>
      <c r="D261" s="5" t="s">
        <v>23</v>
      </c>
      <c r="E261" s="7" t="n">
        <v>238988</v>
      </c>
      <c r="F261" s="7" t="n">
        <v>75452</v>
      </c>
      <c r="G261" s="7" t="n">
        <v>6979</v>
      </c>
      <c r="H261" s="7" t="n">
        <v>1303</v>
      </c>
      <c r="I261" s="7" t="n">
        <v>1839</v>
      </c>
      <c r="J261" s="8" t="n">
        <v>13.41</v>
      </c>
      <c r="K261" s="9" t="n">
        <f aca="false">(G261+H261+I261)/E261</f>
        <v>0.0423494066647698</v>
      </c>
    </row>
    <row r="262" customFormat="false" ht="14.25" hidden="false" customHeight="true" outlineLevel="0" collapsed="false">
      <c r="A262" s="5" t="s">
        <v>286</v>
      </c>
      <c r="B262" s="5" t="s">
        <v>33</v>
      </c>
      <c r="C262" s="6" t="n">
        <v>45685</v>
      </c>
      <c r="D262" s="5" t="s">
        <v>19</v>
      </c>
      <c r="E262" s="7" t="n">
        <v>10739</v>
      </c>
      <c r="F262" s="7" t="n">
        <v>6660</v>
      </c>
      <c r="G262" s="7" t="n">
        <v>385</v>
      </c>
      <c r="H262" s="7" t="n">
        <v>43</v>
      </c>
      <c r="I262" s="7" t="n">
        <v>74</v>
      </c>
      <c r="J262" s="8" t="n">
        <v>7.54</v>
      </c>
      <c r="K262" s="9" t="n">
        <f aca="false">(G262+H262+I262)/E262</f>
        <v>0.0467455070304498</v>
      </c>
    </row>
    <row r="263" customFormat="false" ht="14.25" hidden="false" customHeight="true" outlineLevel="0" collapsed="false">
      <c r="A263" s="5" t="s">
        <v>287</v>
      </c>
      <c r="B263" s="5" t="s">
        <v>18</v>
      </c>
      <c r="C263" s="6" t="n">
        <v>45730</v>
      </c>
      <c r="D263" s="5" t="s">
        <v>19</v>
      </c>
      <c r="E263" s="7" t="n">
        <v>13057</v>
      </c>
      <c r="F263" s="7" t="n">
        <v>9506</v>
      </c>
      <c r="G263" s="7" t="n">
        <v>650</v>
      </c>
      <c r="H263" s="7" t="n">
        <v>89</v>
      </c>
      <c r="I263" s="7" t="n">
        <v>25</v>
      </c>
      <c r="J263" s="8" t="n">
        <v>8.04</v>
      </c>
      <c r="K263" s="9" t="n">
        <f aca="false">(G263+H263+I263)/E263</f>
        <v>0.0585126751933829</v>
      </c>
    </row>
    <row r="264" customFormat="false" ht="14.25" hidden="false" customHeight="true" outlineLevel="0" collapsed="false">
      <c r="A264" s="5" t="s">
        <v>288</v>
      </c>
      <c r="B264" s="5" t="s">
        <v>14</v>
      </c>
      <c r="C264" s="6" t="n">
        <v>46000</v>
      </c>
      <c r="D264" s="5" t="s">
        <v>19</v>
      </c>
      <c r="E264" s="7" t="n">
        <v>27725</v>
      </c>
      <c r="F264" s="7" t="n">
        <v>17999</v>
      </c>
      <c r="G264" s="7" t="n">
        <v>349</v>
      </c>
      <c r="H264" s="7" t="n">
        <v>231</v>
      </c>
      <c r="I264" s="7" t="n">
        <v>427</v>
      </c>
      <c r="J264" s="8" t="n">
        <v>5.59</v>
      </c>
      <c r="K264" s="9" t="n">
        <f aca="false">(G264+H264+I264)/E264</f>
        <v>0.0363210099188458</v>
      </c>
    </row>
    <row r="265" customFormat="false" ht="14.25" hidden="false" customHeight="true" outlineLevel="0" collapsed="false">
      <c r="A265" s="5" t="s">
        <v>289</v>
      </c>
      <c r="B265" s="5" t="s">
        <v>18</v>
      </c>
      <c r="C265" s="6" t="n">
        <v>45730</v>
      </c>
      <c r="D265" s="5" t="s">
        <v>28</v>
      </c>
      <c r="E265" s="7" t="n">
        <v>57682</v>
      </c>
      <c r="F265" s="7" t="n">
        <v>44434</v>
      </c>
      <c r="G265" s="7" t="n">
        <v>1003</v>
      </c>
      <c r="H265" s="7" t="n">
        <v>262</v>
      </c>
      <c r="I265" s="7" t="n">
        <v>289</v>
      </c>
      <c r="J265" s="8" t="n">
        <v>3.5</v>
      </c>
      <c r="K265" s="9" t="n">
        <f aca="false">(G265+H265+I265)/E265</f>
        <v>0.026940813425332</v>
      </c>
    </row>
    <row r="266" customFormat="false" ht="14.25" hidden="false" customHeight="true" outlineLevel="0" collapsed="false">
      <c r="A266" s="5" t="s">
        <v>290</v>
      </c>
      <c r="B266" s="5" t="s">
        <v>22</v>
      </c>
      <c r="C266" s="6" t="n">
        <v>45476</v>
      </c>
      <c r="D266" s="5" t="s">
        <v>23</v>
      </c>
      <c r="E266" s="7" t="n">
        <v>17139</v>
      </c>
      <c r="F266" s="7" t="n">
        <v>9843</v>
      </c>
      <c r="G266" s="7" t="n">
        <v>52</v>
      </c>
      <c r="H266" s="7" t="n">
        <v>36</v>
      </c>
      <c r="I266" s="7" t="n">
        <v>177</v>
      </c>
      <c r="J266" s="8" t="n">
        <v>2.69</v>
      </c>
      <c r="K266" s="9" t="n">
        <f aca="false">(G266+H266+I266)/E266</f>
        <v>0.0154618122410876</v>
      </c>
    </row>
    <row r="267" customFormat="false" ht="14.25" hidden="false" customHeight="true" outlineLevel="0" collapsed="false">
      <c r="A267" s="5" t="s">
        <v>291</v>
      </c>
      <c r="B267" s="5" t="s">
        <v>25</v>
      </c>
      <c r="C267" s="6" t="n">
        <v>45817</v>
      </c>
      <c r="D267" s="5" t="s">
        <v>26</v>
      </c>
      <c r="E267" s="7" t="n">
        <v>189115</v>
      </c>
      <c r="F267" s="7" t="n">
        <v>82786</v>
      </c>
      <c r="G267" s="7" t="n">
        <v>9495</v>
      </c>
      <c r="H267" s="7" t="n">
        <v>717</v>
      </c>
      <c r="I267" s="7" t="n">
        <v>2947</v>
      </c>
      <c r="J267" s="8" t="n">
        <v>15.9</v>
      </c>
      <c r="K267" s="9" t="n">
        <f aca="false">(G267+H267+I267)/E267</f>
        <v>0.0695820003701452</v>
      </c>
    </row>
    <row r="268" customFormat="false" ht="14.25" hidden="false" customHeight="true" outlineLevel="0" collapsed="false">
      <c r="A268" s="5" t="s">
        <v>292</v>
      </c>
      <c r="B268" s="5" t="s">
        <v>18</v>
      </c>
      <c r="C268" s="6" t="n">
        <v>45500</v>
      </c>
      <c r="D268" s="5" t="s">
        <v>19</v>
      </c>
      <c r="E268" s="7" t="n">
        <v>44207</v>
      </c>
      <c r="F268" s="7" t="n">
        <v>32862</v>
      </c>
      <c r="G268" s="7" t="n">
        <v>803</v>
      </c>
      <c r="H268" s="7" t="n">
        <v>386</v>
      </c>
      <c r="I268" s="7" t="n">
        <v>318</v>
      </c>
      <c r="J268" s="8" t="n">
        <v>4.59</v>
      </c>
      <c r="K268" s="9" t="n">
        <f aca="false">(G268+H268+I268)/E268</f>
        <v>0.0340896238152329</v>
      </c>
    </row>
    <row r="269" customFormat="false" ht="14.25" hidden="false" customHeight="true" outlineLevel="0" collapsed="false">
      <c r="A269" s="5" t="s">
        <v>293</v>
      </c>
      <c r="B269" s="5" t="s">
        <v>22</v>
      </c>
      <c r="C269" s="6" t="n">
        <v>45792</v>
      </c>
      <c r="D269" s="5" t="s">
        <v>15</v>
      </c>
      <c r="E269" s="7" t="n">
        <v>15615</v>
      </c>
      <c r="F269" s="7" t="n">
        <v>13350</v>
      </c>
      <c r="G269" s="7" t="n">
        <v>146</v>
      </c>
      <c r="H269" s="7" t="n">
        <v>15</v>
      </c>
      <c r="I269" s="7" t="n">
        <v>260</v>
      </c>
      <c r="J269" s="8" t="n">
        <v>3.15</v>
      </c>
      <c r="K269" s="9" t="n">
        <f aca="false">(G269+H269+I269)/E269</f>
        <v>0.0269612552033301</v>
      </c>
    </row>
    <row r="270" customFormat="false" ht="14.25" hidden="false" customHeight="true" outlineLevel="0" collapsed="false">
      <c r="A270" s="5" t="s">
        <v>294</v>
      </c>
      <c r="B270" s="5" t="s">
        <v>33</v>
      </c>
      <c r="C270" s="6" t="n">
        <v>45409</v>
      </c>
      <c r="D270" s="5" t="s">
        <v>19</v>
      </c>
      <c r="E270" s="7" t="n">
        <v>14552</v>
      </c>
      <c r="F270" s="7" t="n">
        <v>11582</v>
      </c>
      <c r="G270" s="7" t="n">
        <v>469</v>
      </c>
      <c r="H270" s="7" t="n">
        <v>154</v>
      </c>
      <c r="I270" s="7" t="n">
        <v>139</v>
      </c>
      <c r="J270" s="8" t="n">
        <v>6.58</v>
      </c>
      <c r="K270" s="9" t="n">
        <f aca="false">(G270+H270+I270)/E270</f>
        <v>0.0523639362286971</v>
      </c>
    </row>
    <row r="271" customFormat="false" ht="14.25" hidden="false" customHeight="true" outlineLevel="0" collapsed="false">
      <c r="A271" s="5" t="s">
        <v>295</v>
      </c>
      <c r="B271" s="5" t="s">
        <v>14</v>
      </c>
      <c r="C271" s="6" t="n">
        <v>45863</v>
      </c>
      <c r="D271" s="5" t="s">
        <v>19</v>
      </c>
      <c r="E271" s="7" t="n">
        <v>3215</v>
      </c>
      <c r="F271" s="7" t="n">
        <v>1257</v>
      </c>
      <c r="G271" s="7" t="n">
        <v>34</v>
      </c>
      <c r="H271" s="7" t="n">
        <v>3</v>
      </c>
      <c r="I271" s="7" t="n">
        <v>16</v>
      </c>
      <c r="J271" s="8" t="n">
        <v>4.22</v>
      </c>
      <c r="K271" s="9" t="n">
        <f aca="false">(G271+H271+I271)/E271</f>
        <v>0.0164852255054432</v>
      </c>
    </row>
    <row r="272" customFormat="false" ht="14.25" hidden="false" customHeight="true" outlineLevel="0" collapsed="false">
      <c r="A272" s="5" t="s">
        <v>296</v>
      </c>
      <c r="B272" s="5" t="s">
        <v>22</v>
      </c>
      <c r="C272" s="6" t="n">
        <v>45294</v>
      </c>
      <c r="D272" s="5" t="s">
        <v>19</v>
      </c>
      <c r="E272" s="7" t="n">
        <v>22166</v>
      </c>
      <c r="F272" s="7" t="n">
        <v>13317</v>
      </c>
      <c r="G272" s="7" t="n">
        <v>280</v>
      </c>
      <c r="H272" s="7" t="n">
        <v>50</v>
      </c>
      <c r="I272" s="7" t="n">
        <v>213</v>
      </c>
      <c r="J272" s="8" t="n">
        <v>4.08</v>
      </c>
      <c r="K272" s="9" t="n">
        <f aca="false">(G272+H272+I272)/E272</f>
        <v>0.0244969773527023</v>
      </c>
    </row>
    <row r="273" customFormat="false" ht="14.25" hidden="false" customHeight="true" outlineLevel="0" collapsed="false">
      <c r="A273" s="5" t="s">
        <v>297</v>
      </c>
      <c r="B273" s="5" t="s">
        <v>25</v>
      </c>
      <c r="C273" s="6" t="n">
        <v>45894</v>
      </c>
      <c r="D273" s="5" t="s">
        <v>26</v>
      </c>
      <c r="E273" s="7" t="n">
        <v>115946</v>
      </c>
      <c r="F273" s="7" t="n">
        <v>37187</v>
      </c>
      <c r="G273" s="7" t="n">
        <v>3976</v>
      </c>
      <c r="H273" s="7" t="n">
        <v>509</v>
      </c>
      <c r="I273" s="7" t="n">
        <v>1040</v>
      </c>
      <c r="J273" s="8" t="n">
        <v>14.86</v>
      </c>
      <c r="K273" s="9" t="n">
        <f aca="false">(G273+H273+I273)/E273</f>
        <v>0.0476514929363669</v>
      </c>
    </row>
    <row r="274" customFormat="false" ht="14.25" hidden="false" customHeight="true" outlineLevel="0" collapsed="false">
      <c r="A274" s="5" t="s">
        <v>298</v>
      </c>
      <c r="B274" s="5" t="s">
        <v>22</v>
      </c>
      <c r="C274" s="6" t="n">
        <v>45631</v>
      </c>
      <c r="D274" s="5" t="s">
        <v>23</v>
      </c>
      <c r="E274" s="7" t="n">
        <v>49795</v>
      </c>
      <c r="F274" s="7" t="n">
        <v>40622</v>
      </c>
      <c r="G274" s="7" t="n">
        <v>928</v>
      </c>
      <c r="H274" s="7" t="n">
        <v>63</v>
      </c>
      <c r="I274" s="7" t="n">
        <v>119</v>
      </c>
      <c r="J274" s="8" t="n">
        <v>2.73</v>
      </c>
      <c r="K274" s="9" t="n">
        <f aca="false">(G274+H274+I274)/E274</f>
        <v>0.0222913947183452</v>
      </c>
    </row>
    <row r="275" customFormat="false" ht="14.25" hidden="false" customHeight="true" outlineLevel="0" collapsed="false">
      <c r="A275" s="5" t="s">
        <v>299</v>
      </c>
      <c r="B275" s="5" t="s">
        <v>14</v>
      </c>
      <c r="C275" s="6" t="n">
        <v>45976</v>
      </c>
      <c r="D275" s="5" t="s">
        <v>19</v>
      </c>
      <c r="E275" s="7" t="n">
        <v>21275</v>
      </c>
      <c r="F275" s="7" t="n">
        <v>11159</v>
      </c>
      <c r="G275" s="7" t="n">
        <v>223</v>
      </c>
      <c r="H275" s="7" t="n">
        <v>149</v>
      </c>
      <c r="I275" s="7" t="n">
        <v>244</v>
      </c>
      <c r="J275" s="8" t="n">
        <v>5.52</v>
      </c>
      <c r="K275" s="9" t="n">
        <f aca="false">(G275+H275+I275)/E275</f>
        <v>0.0289541715628672</v>
      </c>
    </row>
    <row r="276" customFormat="false" ht="14.25" hidden="false" customHeight="true" outlineLevel="0" collapsed="false">
      <c r="A276" s="5" t="s">
        <v>300</v>
      </c>
      <c r="B276" s="5" t="s">
        <v>25</v>
      </c>
      <c r="C276" s="6" t="n">
        <v>45944</v>
      </c>
      <c r="D276" s="5" t="s">
        <v>23</v>
      </c>
      <c r="E276" s="7" t="n">
        <v>249153</v>
      </c>
      <c r="F276" s="7" t="n">
        <v>111826</v>
      </c>
      <c r="G276" s="7" t="n">
        <v>9278</v>
      </c>
      <c r="H276" s="7" t="n">
        <v>2328</v>
      </c>
      <c r="I276" s="7" t="n">
        <v>2336</v>
      </c>
      <c r="J276" s="8" t="n">
        <v>12.47</v>
      </c>
      <c r="K276" s="9" t="n">
        <f aca="false">(G276+H276+I276)/E276</f>
        <v>0.0559575842955935</v>
      </c>
    </row>
    <row r="277" customFormat="false" ht="14.25" hidden="false" customHeight="true" outlineLevel="0" collapsed="false">
      <c r="A277" s="5" t="s">
        <v>301</v>
      </c>
      <c r="B277" s="5" t="s">
        <v>25</v>
      </c>
      <c r="C277" s="6" t="n">
        <v>45326</v>
      </c>
      <c r="D277" s="5" t="s">
        <v>26</v>
      </c>
      <c r="E277" s="7" t="n">
        <v>479116</v>
      </c>
      <c r="F277" s="7" t="n">
        <v>244474</v>
      </c>
      <c r="G277" s="7" t="n">
        <v>29116</v>
      </c>
      <c r="H277" s="7" t="n">
        <v>1302</v>
      </c>
      <c r="I277" s="7" t="n">
        <v>5281</v>
      </c>
      <c r="J277" s="8" t="n">
        <v>14.6</v>
      </c>
      <c r="K277" s="9" t="n">
        <f aca="false">(G277+H277+I277)/E277</f>
        <v>0.0745101395069253</v>
      </c>
    </row>
    <row r="278" customFormat="false" ht="14.25" hidden="false" customHeight="true" outlineLevel="0" collapsed="false">
      <c r="A278" s="5" t="s">
        <v>302</v>
      </c>
      <c r="B278" s="5" t="s">
        <v>14</v>
      </c>
      <c r="C278" s="6" t="n">
        <v>45465</v>
      </c>
      <c r="D278" s="5" t="s">
        <v>28</v>
      </c>
      <c r="E278" s="7" t="n">
        <v>1917</v>
      </c>
      <c r="F278" s="7" t="n">
        <v>751</v>
      </c>
      <c r="G278" s="7" t="n">
        <v>26</v>
      </c>
      <c r="H278" s="7" t="n">
        <v>4</v>
      </c>
      <c r="I278" s="7" t="n">
        <v>15</v>
      </c>
      <c r="J278" s="8" t="n">
        <v>5.99</v>
      </c>
      <c r="K278" s="9" t="n">
        <f aca="false">(G278+H278+I278)/E278</f>
        <v>0.0234741784037559</v>
      </c>
    </row>
    <row r="279" customFormat="false" ht="14.25" hidden="false" customHeight="true" outlineLevel="0" collapsed="false">
      <c r="A279" s="5" t="s">
        <v>303</v>
      </c>
      <c r="B279" s="5" t="s">
        <v>33</v>
      </c>
      <c r="C279" s="6" t="n">
        <v>45751</v>
      </c>
      <c r="D279" s="5" t="s">
        <v>15</v>
      </c>
      <c r="E279" s="7" t="n">
        <v>14624</v>
      </c>
      <c r="F279" s="7" t="n">
        <v>7922</v>
      </c>
      <c r="G279" s="7" t="n">
        <v>238</v>
      </c>
      <c r="H279" s="7" t="n">
        <v>76</v>
      </c>
      <c r="I279" s="7" t="n">
        <v>99</v>
      </c>
      <c r="J279" s="8" t="n">
        <v>5.21</v>
      </c>
      <c r="K279" s="9" t="n">
        <f aca="false">(G279+H279+I279)/E279</f>
        <v>0.0282412472647702</v>
      </c>
    </row>
    <row r="280" customFormat="false" ht="14.25" hidden="false" customHeight="true" outlineLevel="0" collapsed="false">
      <c r="A280" s="5" t="s">
        <v>304</v>
      </c>
      <c r="B280" s="5" t="s">
        <v>25</v>
      </c>
      <c r="C280" s="6" t="n">
        <v>45738</v>
      </c>
      <c r="D280" s="5" t="s">
        <v>23</v>
      </c>
      <c r="E280" s="7" t="n">
        <v>171936</v>
      </c>
      <c r="F280" s="7" t="n">
        <v>96477</v>
      </c>
      <c r="G280" s="7" t="n">
        <v>4349</v>
      </c>
      <c r="H280" s="7" t="n">
        <v>2652</v>
      </c>
      <c r="I280" s="7" t="n">
        <v>1481</v>
      </c>
      <c r="J280" s="8" t="n">
        <v>8.79</v>
      </c>
      <c r="K280" s="9" t="n">
        <f aca="false">(G280+H280+I280)/E280</f>
        <v>0.0493323096966313</v>
      </c>
    </row>
    <row r="281" customFormat="false" ht="14.25" hidden="false" customHeight="true" outlineLevel="0" collapsed="false">
      <c r="A281" s="5" t="s">
        <v>305</v>
      </c>
      <c r="B281" s="5" t="s">
        <v>25</v>
      </c>
      <c r="C281" s="6" t="n">
        <v>45382</v>
      </c>
      <c r="D281" s="5" t="s">
        <v>26</v>
      </c>
      <c r="E281" s="7" t="n">
        <v>267265</v>
      </c>
      <c r="F281" s="7" t="n">
        <v>129762</v>
      </c>
      <c r="G281" s="7" t="n">
        <v>4658</v>
      </c>
      <c r="H281" s="7" t="n">
        <v>3705</v>
      </c>
      <c r="I281" s="7" t="n">
        <v>1986</v>
      </c>
      <c r="J281" s="8" t="n">
        <v>7.98</v>
      </c>
      <c r="K281" s="9" t="n">
        <f aca="false">(G281+H281+I281)/E281</f>
        <v>0.0387218678091033</v>
      </c>
    </row>
    <row r="282" customFormat="false" ht="14.25" hidden="false" customHeight="true" outlineLevel="0" collapsed="false">
      <c r="A282" s="5" t="s">
        <v>306</v>
      </c>
      <c r="B282" s="5" t="s">
        <v>14</v>
      </c>
      <c r="C282" s="6" t="n">
        <v>45987</v>
      </c>
      <c r="D282" s="5" t="s">
        <v>28</v>
      </c>
      <c r="E282" s="7" t="n">
        <v>15655</v>
      </c>
      <c r="F282" s="7" t="n">
        <v>8593</v>
      </c>
      <c r="G282" s="7" t="n">
        <v>328</v>
      </c>
      <c r="H282" s="7" t="n">
        <v>153</v>
      </c>
      <c r="I282" s="7" t="n">
        <v>116</v>
      </c>
      <c r="J282" s="8" t="n">
        <v>6.95</v>
      </c>
      <c r="K282" s="9" t="n">
        <f aca="false">(G282+H282+I282)/E282</f>
        <v>0.0381347812200575</v>
      </c>
    </row>
    <row r="283" customFormat="false" ht="14.25" hidden="false" customHeight="true" outlineLevel="0" collapsed="false">
      <c r="A283" s="5" t="s">
        <v>307</v>
      </c>
      <c r="B283" s="5" t="s">
        <v>14</v>
      </c>
      <c r="C283" s="6" t="n">
        <v>45633</v>
      </c>
      <c r="D283" s="5" t="s">
        <v>23</v>
      </c>
      <c r="E283" s="7" t="n">
        <v>50893</v>
      </c>
      <c r="F283" s="7" t="n">
        <v>32443</v>
      </c>
      <c r="G283" s="7" t="n">
        <v>580</v>
      </c>
      <c r="H283" s="7" t="n">
        <v>105</v>
      </c>
      <c r="I283" s="7" t="n">
        <v>827</v>
      </c>
      <c r="J283" s="8" t="n">
        <v>4.66</v>
      </c>
      <c r="K283" s="9" t="n">
        <f aca="false">(G283+H283+I283)/E283</f>
        <v>0.0297093902894308</v>
      </c>
    </row>
    <row r="284" customFormat="false" ht="14.25" hidden="false" customHeight="true" outlineLevel="0" collapsed="false">
      <c r="A284" s="5" t="s">
        <v>308</v>
      </c>
      <c r="B284" s="5" t="s">
        <v>25</v>
      </c>
      <c r="C284" s="6" t="n">
        <v>45512</v>
      </c>
      <c r="D284" s="5" t="s">
        <v>23</v>
      </c>
      <c r="E284" s="7" t="n">
        <v>124057</v>
      </c>
      <c r="F284" s="7" t="n">
        <v>43671</v>
      </c>
      <c r="G284" s="7" t="n">
        <v>5159</v>
      </c>
      <c r="H284" s="7" t="n">
        <v>598</v>
      </c>
      <c r="I284" s="7" t="n">
        <v>1119</v>
      </c>
      <c r="J284" s="8" t="n">
        <v>15.75</v>
      </c>
      <c r="K284" s="9" t="n">
        <f aca="false">(G284+H284+I284)/E284</f>
        <v>0.0554261347606342</v>
      </c>
    </row>
    <row r="285" customFormat="false" ht="14.25" hidden="false" customHeight="true" outlineLevel="0" collapsed="false">
      <c r="A285" s="5" t="s">
        <v>309</v>
      </c>
      <c r="B285" s="5" t="s">
        <v>25</v>
      </c>
      <c r="C285" s="6" t="n">
        <v>45550</v>
      </c>
      <c r="D285" s="5" t="s">
        <v>26</v>
      </c>
      <c r="E285" s="7" t="n">
        <v>317606</v>
      </c>
      <c r="F285" s="7" t="n">
        <v>204299</v>
      </c>
      <c r="G285" s="7" t="n">
        <v>6349</v>
      </c>
      <c r="H285" s="7" t="n">
        <v>5077</v>
      </c>
      <c r="I285" s="7" t="n">
        <v>3835</v>
      </c>
      <c r="J285" s="8" t="n">
        <v>7.47</v>
      </c>
      <c r="K285" s="9" t="n">
        <f aca="false">(G285+H285+I285)/E285</f>
        <v>0.0480500998091976</v>
      </c>
    </row>
    <row r="286" customFormat="false" ht="14.25" hidden="false" customHeight="true" outlineLevel="0" collapsed="false">
      <c r="A286" s="5" t="s">
        <v>310</v>
      </c>
      <c r="B286" s="5" t="s">
        <v>25</v>
      </c>
      <c r="C286" s="6" t="n">
        <v>45521</v>
      </c>
      <c r="D286" s="5" t="s">
        <v>26</v>
      </c>
      <c r="E286" s="7" t="n">
        <v>130990</v>
      </c>
      <c r="F286" s="7" t="n">
        <v>74173</v>
      </c>
      <c r="G286" s="7" t="n">
        <v>7846</v>
      </c>
      <c r="H286" s="7" t="n">
        <v>583</v>
      </c>
      <c r="I286" s="7" t="n">
        <v>1506</v>
      </c>
      <c r="J286" s="8" t="n">
        <v>13.39</v>
      </c>
      <c r="K286" s="9" t="n">
        <f aca="false">(G286+H286+I286)/E286</f>
        <v>0.0758454843881212</v>
      </c>
    </row>
    <row r="287" customFormat="false" ht="14.25" hidden="false" customHeight="true" outlineLevel="0" collapsed="false">
      <c r="A287" s="5" t="s">
        <v>311</v>
      </c>
      <c r="B287" s="5" t="s">
        <v>18</v>
      </c>
      <c r="C287" s="6" t="n">
        <v>45345</v>
      </c>
      <c r="D287" s="5" t="s">
        <v>23</v>
      </c>
      <c r="E287" s="7" t="n">
        <v>19221</v>
      </c>
      <c r="F287" s="7" t="n">
        <v>8063</v>
      </c>
      <c r="G287" s="7" t="n">
        <v>629</v>
      </c>
      <c r="H287" s="7" t="n">
        <v>38</v>
      </c>
      <c r="I287" s="7" t="n">
        <v>17</v>
      </c>
      <c r="J287" s="8" t="n">
        <v>8.48</v>
      </c>
      <c r="K287" s="9" t="n">
        <f aca="false">(G287+H287+I287)/E287</f>
        <v>0.0355860777274856</v>
      </c>
    </row>
    <row r="288" customFormat="false" ht="14.25" hidden="false" customHeight="true" outlineLevel="0" collapsed="false">
      <c r="A288" s="5" t="s">
        <v>312</v>
      </c>
      <c r="B288" s="5" t="s">
        <v>18</v>
      </c>
      <c r="C288" s="6" t="n">
        <v>45454</v>
      </c>
      <c r="D288" s="5" t="s">
        <v>23</v>
      </c>
      <c r="E288" s="7" t="n">
        <v>48127</v>
      </c>
      <c r="F288" s="7" t="n">
        <v>28544</v>
      </c>
      <c r="G288" s="7" t="n">
        <v>692</v>
      </c>
      <c r="H288" s="7" t="n">
        <v>260</v>
      </c>
      <c r="I288" s="7" t="n">
        <v>141</v>
      </c>
      <c r="J288" s="8" t="n">
        <v>3.83</v>
      </c>
      <c r="K288" s="9" t="n">
        <f aca="false">(G288+H288+I288)/E288</f>
        <v>0.0227107444885407</v>
      </c>
    </row>
    <row r="289" customFormat="false" ht="14.25" hidden="false" customHeight="true" outlineLevel="0" collapsed="false">
      <c r="A289" s="5" t="s">
        <v>313</v>
      </c>
      <c r="B289" s="5" t="s">
        <v>14</v>
      </c>
      <c r="C289" s="6" t="n">
        <v>45564</v>
      </c>
      <c r="D289" s="5" t="s">
        <v>28</v>
      </c>
      <c r="E289" s="7" t="n">
        <v>20600</v>
      </c>
      <c r="F289" s="7" t="n">
        <v>7910</v>
      </c>
      <c r="G289" s="7" t="n">
        <v>300</v>
      </c>
      <c r="H289" s="7" t="n">
        <v>120</v>
      </c>
      <c r="I289" s="7" t="n">
        <v>167</v>
      </c>
      <c r="J289" s="8" t="n">
        <v>7.42</v>
      </c>
      <c r="K289" s="9" t="n">
        <f aca="false">(G289+H289+I289)/E289</f>
        <v>0.028495145631068</v>
      </c>
    </row>
    <row r="290" customFormat="false" ht="14.25" hidden="false" customHeight="true" outlineLevel="0" collapsed="false">
      <c r="A290" s="5" t="s">
        <v>314</v>
      </c>
      <c r="B290" s="5" t="s">
        <v>25</v>
      </c>
      <c r="C290" s="6" t="n">
        <v>45376</v>
      </c>
      <c r="D290" s="5" t="s">
        <v>26</v>
      </c>
      <c r="E290" s="7" t="n">
        <v>267250</v>
      </c>
      <c r="F290" s="7" t="n">
        <v>160414</v>
      </c>
      <c r="G290" s="7" t="n">
        <v>16606</v>
      </c>
      <c r="H290" s="7" t="n">
        <v>2210</v>
      </c>
      <c r="I290" s="7" t="n">
        <v>6744</v>
      </c>
      <c r="J290" s="8" t="n">
        <v>15.93</v>
      </c>
      <c r="K290" s="9" t="n">
        <f aca="false">(G290+H290+I290)/E290</f>
        <v>0.0956407857811038</v>
      </c>
    </row>
    <row r="291" customFormat="false" ht="14.25" hidden="false" customHeight="true" outlineLevel="0" collapsed="false">
      <c r="A291" s="5" t="s">
        <v>315</v>
      </c>
      <c r="B291" s="5" t="s">
        <v>22</v>
      </c>
      <c r="C291" s="6" t="n">
        <v>46000</v>
      </c>
      <c r="D291" s="5" t="s">
        <v>23</v>
      </c>
      <c r="E291" s="7" t="n">
        <v>65898</v>
      </c>
      <c r="F291" s="7" t="n">
        <v>58771</v>
      </c>
      <c r="G291" s="7" t="n">
        <v>667</v>
      </c>
      <c r="H291" s="7" t="n">
        <v>59</v>
      </c>
      <c r="I291" s="7" t="n">
        <v>1074</v>
      </c>
      <c r="J291" s="8" t="n">
        <v>3.06</v>
      </c>
      <c r="K291" s="9" t="n">
        <f aca="false">(G291+H291+I291)/E291</f>
        <v>0.0273149412728763</v>
      </c>
    </row>
    <row r="292" customFormat="false" ht="14.25" hidden="false" customHeight="true" outlineLevel="0" collapsed="false">
      <c r="A292" s="5" t="s">
        <v>316</v>
      </c>
      <c r="B292" s="5" t="s">
        <v>25</v>
      </c>
      <c r="C292" s="6" t="n">
        <v>45486</v>
      </c>
      <c r="D292" s="5" t="s">
        <v>26</v>
      </c>
      <c r="E292" s="7" t="n">
        <v>162631</v>
      </c>
      <c r="F292" s="7" t="n">
        <v>81462</v>
      </c>
      <c r="G292" s="7" t="n">
        <v>9603</v>
      </c>
      <c r="H292" s="7" t="n">
        <v>1326</v>
      </c>
      <c r="I292" s="7" t="n">
        <v>1988</v>
      </c>
      <c r="J292" s="8" t="n">
        <v>15.86</v>
      </c>
      <c r="K292" s="9" t="n">
        <f aca="false">(G292+H292+I292)/E292</f>
        <v>0.0794252018372881</v>
      </c>
    </row>
    <row r="293" customFormat="false" ht="14.25" hidden="false" customHeight="true" outlineLevel="0" collapsed="false">
      <c r="A293" s="5" t="s">
        <v>317</v>
      </c>
      <c r="B293" s="5" t="s">
        <v>25</v>
      </c>
      <c r="C293" s="6" t="n">
        <v>45734</v>
      </c>
      <c r="D293" s="5" t="s">
        <v>23</v>
      </c>
      <c r="E293" s="7" t="n">
        <v>335925</v>
      </c>
      <c r="F293" s="7" t="n">
        <v>206102</v>
      </c>
      <c r="G293" s="7" t="n">
        <v>22794</v>
      </c>
      <c r="H293" s="7" t="n">
        <v>4283</v>
      </c>
      <c r="I293" s="7" t="n">
        <v>6109</v>
      </c>
      <c r="J293" s="8" t="n">
        <v>16.1</v>
      </c>
      <c r="K293" s="9" t="n">
        <f aca="false">(G293+H293+I293)/E293</f>
        <v>0.0987899084617102</v>
      </c>
    </row>
    <row r="294" customFormat="false" ht="14.25" hidden="false" customHeight="true" outlineLevel="0" collapsed="false">
      <c r="A294" s="5" t="s">
        <v>318</v>
      </c>
      <c r="B294" s="5" t="s">
        <v>25</v>
      </c>
      <c r="C294" s="6" t="n">
        <v>45766</v>
      </c>
      <c r="D294" s="5" t="s">
        <v>26</v>
      </c>
      <c r="E294" s="7" t="n">
        <v>327720</v>
      </c>
      <c r="F294" s="7" t="n">
        <v>113540</v>
      </c>
      <c r="G294" s="7" t="n">
        <v>10924</v>
      </c>
      <c r="H294" s="7" t="n">
        <v>1235</v>
      </c>
      <c r="I294" s="7" t="n">
        <v>2980</v>
      </c>
      <c r="J294" s="8" t="n">
        <v>13.33</v>
      </c>
      <c r="K294" s="9" t="n">
        <f aca="false">(G294+H294+I294)/E294</f>
        <v>0.0461949224948126</v>
      </c>
    </row>
    <row r="295" customFormat="false" ht="14.25" hidden="false" customHeight="true" outlineLevel="0" collapsed="false">
      <c r="A295" s="5" t="s">
        <v>319</v>
      </c>
      <c r="B295" s="5" t="s">
        <v>25</v>
      </c>
      <c r="C295" s="6" t="n">
        <v>45529</v>
      </c>
      <c r="D295" s="5" t="s">
        <v>23</v>
      </c>
      <c r="E295" s="7" t="n">
        <v>264001</v>
      </c>
      <c r="F295" s="7" t="n">
        <v>115285</v>
      </c>
      <c r="G295" s="7" t="n">
        <v>4168</v>
      </c>
      <c r="H295" s="7" t="n">
        <v>2054</v>
      </c>
      <c r="I295" s="7" t="n">
        <v>4790</v>
      </c>
      <c r="J295" s="8" t="n">
        <v>9.55</v>
      </c>
      <c r="K295" s="9" t="n">
        <f aca="false">(G295+H295+I295)/E295</f>
        <v>0.0417119632122606</v>
      </c>
    </row>
    <row r="296" customFormat="false" ht="14.25" hidden="false" customHeight="true" outlineLevel="0" collapsed="false">
      <c r="A296" s="5" t="s">
        <v>320</v>
      </c>
      <c r="B296" s="5" t="s">
        <v>33</v>
      </c>
      <c r="C296" s="6" t="n">
        <v>45325</v>
      </c>
      <c r="D296" s="5" t="s">
        <v>15</v>
      </c>
      <c r="E296" s="7" t="n">
        <v>8569</v>
      </c>
      <c r="F296" s="7" t="n">
        <v>5583</v>
      </c>
      <c r="G296" s="7" t="n">
        <v>211</v>
      </c>
      <c r="H296" s="7" t="n">
        <v>114</v>
      </c>
      <c r="I296" s="7" t="n">
        <v>20</v>
      </c>
      <c r="J296" s="8" t="n">
        <v>6.18</v>
      </c>
      <c r="K296" s="9" t="n">
        <f aca="false">(G296+H296+I296)/E296</f>
        <v>0.040261407398763</v>
      </c>
    </row>
    <row r="297" customFormat="false" ht="14.25" hidden="false" customHeight="true" outlineLevel="0" collapsed="false">
      <c r="A297" s="5" t="s">
        <v>321</v>
      </c>
      <c r="B297" s="5" t="s">
        <v>25</v>
      </c>
      <c r="C297" s="6" t="n">
        <v>45801</v>
      </c>
      <c r="D297" s="5" t="s">
        <v>26</v>
      </c>
      <c r="E297" s="7" t="n">
        <v>234440</v>
      </c>
      <c r="F297" s="7" t="n">
        <v>94642</v>
      </c>
      <c r="G297" s="7" t="n">
        <v>4690</v>
      </c>
      <c r="H297" s="7" t="n">
        <v>1249</v>
      </c>
      <c r="I297" s="7" t="n">
        <v>1602</v>
      </c>
      <c r="J297" s="8" t="n">
        <v>7.97</v>
      </c>
      <c r="K297" s="9" t="n">
        <f aca="false">(G297+H297+I297)/E297</f>
        <v>0.0321660126258318</v>
      </c>
    </row>
    <row r="298" customFormat="false" ht="14.25" hidden="false" customHeight="true" outlineLevel="0" collapsed="false">
      <c r="A298" s="5" t="s">
        <v>322</v>
      </c>
      <c r="B298" s="5" t="s">
        <v>18</v>
      </c>
      <c r="C298" s="6" t="n">
        <v>45940</v>
      </c>
      <c r="D298" s="5" t="s">
        <v>23</v>
      </c>
      <c r="E298" s="7" t="n">
        <v>21886</v>
      </c>
      <c r="F298" s="7" t="n">
        <v>12065</v>
      </c>
      <c r="G298" s="7" t="n">
        <v>810</v>
      </c>
      <c r="H298" s="7" t="n">
        <v>125</v>
      </c>
      <c r="I298" s="7" t="n">
        <v>31</v>
      </c>
      <c r="J298" s="8" t="n">
        <v>8.01</v>
      </c>
      <c r="K298" s="9" t="n">
        <f aca="false">(G298+H298+I298)/E298</f>
        <v>0.044137804989491</v>
      </c>
    </row>
    <row r="299" customFormat="false" ht="14.25" hidden="false" customHeight="true" outlineLevel="0" collapsed="false">
      <c r="A299" s="5" t="s">
        <v>323</v>
      </c>
      <c r="B299" s="5" t="s">
        <v>18</v>
      </c>
      <c r="C299" s="6" t="n">
        <v>45397</v>
      </c>
      <c r="D299" s="5" t="s">
        <v>28</v>
      </c>
      <c r="E299" s="7" t="n">
        <v>46055</v>
      </c>
      <c r="F299" s="7" t="n">
        <v>30899</v>
      </c>
      <c r="G299" s="7" t="n">
        <v>925</v>
      </c>
      <c r="H299" s="7" t="n">
        <v>408</v>
      </c>
      <c r="I299" s="7" t="n">
        <v>128</v>
      </c>
      <c r="J299" s="8" t="n">
        <v>4.73</v>
      </c>
      <c r="K299" s="9" t="n">
        <f aca="false">(G299+H299+I299)/E299</f>
        <v>0.0317229399630876</v>
      </c>
    </row>
    <row r="300" customFormat="false" ht="14.25" hidden="false" customHeight="true" outlineLevel="0" collapsed="false">
      <c r="A300" s="5" t="s">
        <v>324</v>
      </c>
      <c r="B300" s="5" t="s">
        <v>33</v>
      </c>
      <c r="C300" s="6" t="n">
        <v>45336</v>
      </c>
      <c r="D300" s="5" t="s">
        <v>23</v>
      </c>
      <c r="E300" s="7" t="n">
        <v>32987</v>
      </c>
      <c r="F300" s="7" t="n">
        <v>20391</v>
      </c>
      <c r="G300" s="7" t="n">
        <v>898</v>
      </c>
      <c r="H300" s="7" t="n">
        <v>496</v>
      </c>
      <c r="I300" s="7" t="n">
        <v>105</v>
      </c>
      <c r="J300" s="8" t="n">
        <v>7.35</v>
      </c>
      <c r="K300" s="9" t="n">
        <f aca="false">(G300+H300+I300)/E300</f>
        <v>0.0454421438748598</v>
      </c>
    </row>
    <row r="301" customFormat="false" ht="14.25" hidden="false" customHeight="true" outlineLevel="0" collapsed="false">
      <c r="A301" s="5" t="s">
        <v>325</v>
      </c>
      <c r="B301" s="5" t="s">
        <v>18</v>
      </c>
      <c r="C301" s="6" t="n">
        <v>45554</v>
      </c>
      <c r="D301" s="5" t="s">
        <v>19</v>
      </c>
      <c r="E301" s="7" t="n">
        <v>19452</v>
      </c>
      <c r="F301" s="7" t="n">
        <v>12056</v>
      </c>
      <c r="G301" s="7" t="n">
        <v>928</v>
      </c>
      <c r="H301" s="7" t="n">
        <v>152</v>
      </c>
      <c r="I301" s="7" t="n">
        <v>26</v>
      </c>
      <c r="J301" s="8" t="n">
        <v>9.17</v>
      </c>
      <c r="K301" s="9" t="n">
        <f aca="false">(G301+H301+I301)/E301</f>
        <v>0.0568579066419905</v>
      </c>
    </row>
    <row r="302" customFormat="false" ht="14.25" hidden="false" customHeight="true" outlineLevel="0" collapsed="false">
      <c r="A302" s="5" t="s">
        <v>326</v>
      </c>
      <c r="B302" s="5" t="s">
        <v>14</v>
      </c>
      <c r="C302" s="6" t="n">
        <v>45297</v>
      </c>
      <c r="D302" s="5" t="s">
        <v>23</v>
      </c>
      <c r="E302" s="7" t="n">
        <v>39173</v>
      </c>
      <c r="F302" s="7" t="n">
        <v>14507</v>
      </c>
      <c r="G302" s="7" t="n">
        <v>674</v>
      </c>
      <c r="H302" s="7" t="n">
        <v>179</v>
      </c>
      <c r="I302" s="7" t="n">
        <v>428</v>
      </c>
      <c r="J302" s="8" t="n">
        <v>8.83</v>
      </c>
      <c r="K302" s="9" t="n">
        <f aca="false">(G302+H302+I302)/E302</f>
        <v>0.0327010951420621</v>
      </c>
    </row>
    <row r="303" customFormat="false" ht="14.25" hidden="false" customHeight="true" outlineLevel="0" collapsed="false">
      <c r="A303" s="5" t="s">
        <v>327</v>
      </c>
      <c r="B303" s="5" t="s">
        <v>22</v>
      </c>
      <c r="C303" s="6" t="n">
        <v>46016</v>
      </c>
      <c r="D303" s="5" t="s">
        <v>23</v>
      </c>
      <c r="E303" s="7" t="n">
        <v>7902</v>
      </c>
      <c r="F303" s="7" t="n">
        <v>6279</v>
      </c>
      <c r="G303" s="7" t="n">
        <v>145</v>
      </c>
      <c r="H303" s="7" t="n">
        <v>34</v>
      </c>
      <c r="I303" s="7" t="n">
        <v>106</v>
      </c>
      <c r="J303" s="8" t="n">
        <v>4.54</v>
      </c>
      <c r="K303" s="9" t="n">
        <f aca="false">(G303+H303+I303)/E303</f>
        <v>0.0360668185269552</v>
      </c>
    </row>
    <row r="304" customFormat="false" ht="14.25" hidden="false" customHeight="true" outlineLevel="0" collapsed="false">
      <c r="A304" s="5" t="s">
        <v>328</v>
      </c>
      <c r="B304" s="5" t="s">
        <v>25</v>
      </c>
      <c r="C304" s="6" t="n">
        <v>45856</v>
      </c>
      <c r="D304" s="5" t="s">
        <v>23</v>
      </c>
      <c r="E304" s="7" t="n">
        <v>179612</v>
      </c>
      <c r="F304" s="7" t="n">
        <v>121236</v>
      </c>
      <c r="G304" s="7" t="n">
        <v>13155</v>
      </c>
      <c r="H304" s="7" t="n">
        <v>2428</v>
      </c>
      <c r="I304" s="7" t="n">
        <v>1907</v>
      </c>
      <c r="J304" s="8" t="n">
        <v>14.43</v>
      </c>
      <c r="K304" s="9" t="n">
        <f aca="false">(G304+H304+I304)/E304</f>
        <v>0.0973765672672205</v>
      </c>
    </row>
    <row r="305" customFormat="false" ht="14.25" hidden="false" customHeight="true" outlineLevel="0" collapsed="false">
      <c r="A305" s="5" t="s">
        <v>329</v>
      </c>
      <c r="B305" s="5" t="s">
        <v>33</v>
      </c>
      <c r="C305" s="6" t="n">
        <v>45998</v>
      </c>
      <c r="D305" s="5" t="s">
        <v>19</v>
      </c>
      <c r="E305" s="7" t="n">
        <v>13777</v>
      </c>
      <c r="F305" s="7" t="n">
        <v>10680</v>
      </c>
      <c r="G305" s="7" t="n">
        <v>458</v>
      </c>
      <c r="H305" s="7" t="n">
        <v>101</v>
      </c>
      <c r="I305" s="7" t="n">
        <v>126</v>
      </c>
      <c r="J305" s="8" t="n">
        <v>6.41</v>
      </c>
      <c r="K305" s="9" t="n">
        <f aca="false">(G305+H305+I305)/E305</f>
        <v>0.0497205487406547</v>
      </c>
    </row>
    <row r="306" customFormat="false" ht="14.25" hidden="false" customHeight="true" outlineLevel="0" collapsed="false">
      <c r="A306" s="5" t="s">
        <v>330</v>
      </c>
      <c r="B306" s="5" t="s">
        <v>18</v>
      </c>
      <c r="C306" s="6" t="n">
        <v>45319</v>
      </c>
      <c r="D306" s="5" t="s">
        <v>23</v>
      </c>
      <c r="E306" s="7" t="n">
        <v>21373</v>
      </c>
      <c r="F306" s="7" t="n">
        <v>11115</v>
      </c>
      <c r="G306" s="7" t="n">
        <v>472</v>
      </c>
      <c r="H306" s="7" t="n">
        <v>31</v>
      </c>
      <c r="I306" s="7" t="n">
        <v>34</v>
      </c>
      <c r="J306" s="8" t="n">
        <v>4.83</v>
      </c>
      <c r="K306" s="9" t="n">
        <f aca="false">(G306+H306+I306)/E306</f>
        <v>0.025125157909512</v>
      </c>
    </row>
    <row r="307" customFormat="false" ht="14.25" hidden="false" customHeight="true" outlineLevel="0" collapsed="false">
      <c r="A307" s="5" t="s">
        <v>331</v>
      </c>
      <c r="B307" s="5" t="s">
        <v>14</v>
      </c>
      <c r="C307" s="6" t="n">
        <v>45712</v>
      </c>
      <c r="D307" s="5" t="s">
        <v>23</v>
      </c>
      <c r="E307" s="7" t="n">
        <v>17863</v>
      </c>
      <c r="F307" s="7" t="n">
        <v>6969</v>
      </c>
      <c r="G307" s="7" t="n">
        <v>286</v>
      </c>
      <c r="H307" s="7" t="n">
        <v>48</v>
      </c>
      <c r="I307" s="7" t="n">
        <v>141</v>
      </c>
      <c r="J307" s="8" t="n">
        <v>6.82</v>
      </c>
      <c r="K307" s="9" t="n">
        <f aca="false">(G307+H307+I307)/E307</f>
        <v>0.0265912780607961</v>
      </c>
    </row>
    <row r="308" customFormat="false" ht="14.25" hidden="false" customHeight="true" outlineLevel="0" collapsed="false">
      <c r="A308" s="5" t="s">
        <v>332</v>
      </c>
      <c r="B308" s="5" t="s">
        <v>22</v>
      </c>
      <c r="C308" s="6" t="n">
        <v>45508</v>
      </c>
      <c r="D308" s="5" t="s">
        <v>19</v>
      </c>
      <c r="E308" s="7" t="n">
        <v>805</v>
      </c>
      <c r="F308" s="7" t="n">
        <v>681</v>
      </c>
      <c r="G308" s="7" t="n">
        <v>13</v>
      </c>
      <c r="H308" s="7" t="n">
        <v>0</v>
      </c>
      <c r="I308" s="7" t="n">
        <v>12</v>
      </c>
      <c r="J308" s="8" t="n">
        <v>3.67</v>
      </c>
      <c r="K308" s="9" t="n">
        <f aca="false">(G308+H308+I308)/E308</f>
        <v>0.031055900621118</v>
      </c>
    </row>
    <row r="309" customFormat="false" ht="14.25" hidden="false" customHeight="true" outlineLevel="0" collapsed="false">
      <c r="A309" s="5" t="s">
        <v>333</v>
      </c>
      <c r="B309" s="5" t="s">
        <v>14</v>
      </c>
      <c r="C309" s="6" t="n">
        <v>45346</v>
      </c>
      <c r="D309" s="5" t="s">
        <v>15</v>
      </c>
      <c r="E309" s="7" t="n">
        <v>22335</v>
      </c>
      <c r="F309" s="7" t="n">
        <v>7481</v>
      </c>
      <c r="G309" s="7" t="n">
        <v>117</v>
      </c>
      <c r="H309" s="7" t="n">
        <v>51</v>
      </c>
      <c r="I309" s="7" t="n">
        <v>202</v>
      </c>
      <c r="J309" s="8" t="n">
        <v>4.95</v>
      </c>
      <c r="K309" s="9" t="n">
        <f aca="false">(G309+H309+I309)/E309</f>
        <v>0.0165659279158272</v>
      </c>
    </row>
    <row r="310" customFormat="false" ht="14.25" hidden="false" customHeight="true" outlineLevel="0" collapsed="false">
      <c r="A310" s="5" t="s">
        <v>334</v>
      </c>
      <c r="B310" s="5" t="s">
        <v>33</v>
      </c>
      <c r="C310" s="6" t="n">
        <v>45321</v>
      </c>
      <c r="D310" s="5" t="s">
        <v>23</v>
      </c>
      <c r="E310" s="7" t="n">
        <v>21766</v>
      </c>
      <c r="F310" s="7" t="n">
        <v>17113</v>
      </c>
      <c r="G310" s="7" t="n">
        <v>572</v>
      </c>
      <c r="H310" s="7" t="n">
        <v>249</v>
      </c>
      <c r="I310" s="7" t="n">
        <v>239</v>
      </c>
      <c r="J310" s="8" t="n">
        <v>6.19</v>
      </c>
      <c r="K310" s="9" t="n">
        <f aca="false">(G310+H310+I310)/E310</f>
        <v>0.0486998070385004</v>
      </c>
    </row>
    <row r="311" customFormat="false" ht="14.25" hidden="false" customHeight="true" outlineLevel="0" collapsed="false">
      <c r="A311" s="5" t="s">
        <v>335</v>
      </c>
      <c r="B311" s="5" t="s">
        <v>25</v>
      </c>
      <c r="C311" s="6" t="n">
        <v>46003</v>
      </c>
      <c r="D311" s="5" t="s">
        <v>26</v>
      </c>
      <c r="E311" s="7" t="n">
        <v>221514</v>
      </c>
      <c r="F311" s="7" t="n">
        <v>79009</v>
      </c>
      <c r="G311" s="7" t="n">
        <v>4522</v>
      </c>
      <c r="H311" s="7" t="n">
        <v>723</v>
      </c>
      <c r="I311" s="7" t="n">
        <v>3424</v>
      </c>
      <c r="J311" s="8" t="n">
        <v>10.97</v>
      </c>
      <c r="K311" s="9" t="n">
        <f aca="false">(G311+H311+I311)/E311</f>
        <v>0.0391352239587566</v>
      </c>
    </row>
    <row r="312" customFormat="false" ht="14.25" hidden="false" customHeight="true" outlineLevel="0" collapsed="false">
      <c r="A312" s="5" t="s">
        <v>336</v>
      </c>
      <c r="B312" s="5" t="s">
        <v>25</v>
      </c>
      <c r="C312" s="6" t="n">
        <v>45403</v>
      </c>
      <c r="D312" s="5" t="s">
        <v>23</v>
      </c>
      <c r="E312" s="7" t="n">
        <v>486111</v>
      </c>
      <c r="F312" s="7" t="n">
        <v>244556</v>
      </c>
      <c r="G312" s="7" t="n">
        <v>28634</v>
      </c>
      <c r="H312" s="7" t="n">
        <v>6389</v>
      </c>
      <c r="I312" s="7" t="n">
        <v>6666</v>
      </c>
      <c r="J312" s="8" t="n">
        <v>17.05</v>
      </c>
      <c r="K312" s="9" t="n">
        <f aca="false">(G312+H312+I312)/E312</f>
        <v>0.085760248173771</v>
      </c>
    </row>
    <row r="313" customFormat="false" ht="14.25" hidden="false" customHeight="true" outlineLevel="0" collapsed="false">
      <c r="A313" s="5" t="s">
        <v>337</v>
      </c>
      <c r="B313" s="5" t="s">
        <v>18</v>
      </c>
      <c r="C313" s="6" t="n">
        <v>45581</v>
      </c>
      <c r="D313" s="5" t="s">
        <v>26</v>
      </c>
      <c r="E313" s="7" t="n">
        <v>25657</v>
      </c>
      <c r="F313" s="7" t="n">
        <v>12582</v>
      </c>
      <c r="G313" s="7" t="n">
        <v>378</v>
      </c>
      <c r="H313" s="7" t="n">
        <v>143</v>
      </c>
      <c r="I313" s="7" t="n">
        <v>70</v>
      </c>
      <c r="J313" s="8" t="n">
        <v>4.7</v>
      </c>
      <c r="K313" s="9" t="n">
        <f aca="false">(G313+H313+I313)/E313</f>
        <v>0.0230346494134154</v>
      </c>
    </row>
    <row r="314" customFormat="false" ht="14.25" hidden="false" customHeight="true" outlineLevel="0" collapsed="false">
      <c r="A314" s="5" t="s">
        <v>338</v>
      </c>
      <c r="B314" s="5" t="s">
        <v>25</v>
      </c>
      <c r="C314" s="6" t="n">
        <v>45955</v>
      </c>
      <c r="D314" s="5" t="s">
        <v>26</v>
      </c>
      <c r="E314" s="7" t="n">
        <v>217580</v>
      </c>
      <c r="F314" s="7" t="n">
        <v>151146</v>
      </c>
      <c r="G314" s="7" t="n">
        <v>8855</v>
      </c>
      <c r="H314" s="7" t="n">
        <v>3232</v>
      </c>
      <c r="I314" s="7" t="n">
        <v>3214</v>
      </c>
      <c r="J314" s="8" t="n">
        <v>10.12</v>
      </c>
      <c r="K314" s="9" t="n">
        <f aca="false">(G314+H314+I314)/E314</f>
        <v>0.0703235591506572</v>
      </c>
    </row>
    <row r="315" customFormat="false" ht="14.25" hidden="false" customHeight="true" outlineLevel="0" collapsed="false">
      <c r="A315" s="5" t="s">
        <v>339</v>
      </c>
      <c r="B315" s="5" t="s">
        <v>18</v>
      </c>
      <c r="C315" s="6" t="n">
        <v>45607</v>
      </c>
      <c r="D315" s="5" t="s">
        <v>28</v>
      </c>
      <c r="E315" s="7" t="n">
        <v>34200</v>
      </c>
      <c r="F315" s="7" t="n">
        <v>16557</v>
      </c>
      <c r="G315" s="7" t="n">
        <v>538</v>
      </c>
      <c r="H315" s="7" t="n">
        <v>120</v>
      </c>
      <c r="I315" s="7" t="n">
        <v>128</v>
      </c>
      <c r="J315" s="8" t="n">
        <v>4.75</v>
      </c>
      <c r="K315" s="9" t="n">
        <f aca="false">(G315+H315+I315)/E315</f>
        <v>0.0229824561403509</v>
      </c>
    </row>
    <row r="316" customFormat="false" ht="14.25" hidden="false" customHeight="true" outlineLevel="0" collapsed="false">
      <c r="A316" s="5" t="s">
        <v>340</v>
      </c>
      <c r="B316" s="5" t="s">
        <v>14</v>
      </c>
      <c r="C316" s="6" t="n">
        <v>45669</v>
      </c>
      <c r="D316" s="5" t="s">
        <v>19</v>
      </c>
      <c r="E316" s="7" t="n">
        <v>3795</v>
      </c>
      <c r="F316" s="7" t="n">
        <v>1430</v>
      </c>
      <c r="G316" s="7" t="n">
        <v>25</v>
      </c>
      <c r="H316" s="7" t="n">
        <v>17</v>
      </c>
      <c r="I316" s="7" t="n">
        <v>35</v>
      </c>
      <c r="J316" s="8" t="n">
        <v>5.38</v>
      </c>
      <c r="K316" s="9" t="n">
        <f aca="false">(G316+H316+I316)/E316</f>
        <v>0.0202898550724638</v>
      </c>
    </row>
    <row r="317" customFormat="false" ht="14.25" hidden="false" customHeight="true" outlineLevel="0" collapsed="false">
      <c r="A317" s="5" t="s">
        <v>341</v>
      </c>
      <c r="B317" s="5" t="s">
        <v>18</v>
      </c>
      <c r="C317" s="6" t="n">
        <v>45556</v>
      </c>
      <c r="D317" s="5" t="s">
        <v>26</v>
      </c>
      <c r="E317" s="7" t="n">
        <v>94750</v>
      </c>
      <c r="F317" s="7" t="n">
        <v>68512</v>
      </c>
      <c r="G317" s="7" t="n">
        <v>2924</v>
      </c>
      <c r="H317" s="7" t="n">
        <v>257</v>
      </c>
      <c r="I317" s="7" t="n">
        <v>590</v>
      </c>
      <c r="J317" s="8" t="n">
        <v>5.5</v>
      </c>
      <c r="K317" s="9" t="n">
        <f aca="false">(G317+H317+I317)/E317</f>
        <v>0.0397994722955145</v>
      </c>
    </row>
    <row r="318" customFormat="false" ht="14.25" hidden="false" customHeight="true" outlineLevel="0" collapsed="false">
      <c r="A318" s="5" t="s">
        <v>342</v>
      </c>
      <c r="B318" s="5" t="s">
        <v>25</v>
      </c>
      <c r="C318" s="6" t="n">
        <v>45763</v>
      </c>
      <c r="D318" s="5" t="s">
        <v>26</v>
      </c>
      <c r="E318" s="7" t="n">
        <v>306186</v>
      </c>
      <c r="F318" s="7" t="n">
        <v>114749</v>
      </c>
      <c r="G318" s="7" t="n">
        <v>11613</v>
      </c>
      <c r="H318" s="7" t="n">
        <v>2656</v>
      </c>
      <c r="I318" s="7" t="n">
        <v>1592</v>
      </c>
      <c r="J318" s="8" t="n">
        <v>13.82</v>
      </c>
      <c r="K318" s="9" t="n">
        <f aca="false">(G318+H318+I318)/E318</f>
        <v>0.0518018459367835</v>
      </c>
    </row>
    <row r="319" customFormat="false" ht="14.25" hidden="false" customHeight="true" outlineLevel="0" collapsed="false">
      <c r="A319" s="5" t="s">
        <v>343</v>
      </c>
      <c r="B319" s="5" t="s">
        <v>22</v>
      </c>
      <c r="C319" s="6" t="n">
        <v>45649</v>
      </c>
      <c r="D319" s="5" t="s">
        <v>15</v>
      </c>
      <c r="E319" s="7" t="n">
        <v>13381</v>
      </c>
      <c r="F319" s="7" t="n">
        <v>11208</v>
      </c>
      <c r="G319" s="7" t="n">
        <v>181</v>
      </c>
      <c r="H319" s="7" t="n">
        <v>44</v>
      </c>
      <c r="I319" s="7" t="n">
        <v>92</v>
      </c>
      <c r="J319" s="8" t="n">
        <v>2.83</v>
      </c>
      <c r="K319" s="9" t="n">
        <f aca="false">(G319+H319+I319)/E319</f>
        <v>0.0236903071519318</v>
      </c>
    </row>
    <row r="320" customFormat="false" ht="14.25" hidden="false" customHeight="true" outlineLevel="0" collapsed="false">
      <c r="A320" s="5" t="s">
        <v>344</v>
      </c>
      <c r="B320" s="5" t="s">
        <v>22</v>
      </c>
      <c r="C320" s="6" t="n">
        <v>45495</v>
      </c>
      <c r="D320" s="5" t="s">
        <v>15</v>
      </c>
      <c r="E320" s="7" t="n">
        <v>4088</v>
      </c>
      <c r="F320" s="7" t="n">
        <v>2737</v>
      </c>
      <c r="G320" s="7" t="n">
        <v>22</v>
      </c>
      <c r="H320" s="7" t="n">
        <v>14</v>
      </c>
      <c r="I320" s="7" t="n">
        <v>35</v>
      </c>
      <c r="J320" s="8" t="n">
        <v>2.59</v>
      </c>
      <c r="K320" s="9" t="n">
        <f aca="false">(G320+H320+I320)/E320</f>
        <v>0.0173679060665362</v>
      </c>
    </row>
    <row r="321" customFormat="false" ht="14.25" hidden="false" customHeight="true" outlineLevel="0" collapsed="false">
      <c r="A321" s="5" t="s">
        <v>345</v>
      </c>
      <c r="B321" s="5" t="s">
        <v>25</v>
      </c>
      <c r="C321" s="6" t="n">
        <v>45693</v>
      </c>
      <c r="D321" s="5" t="s">
        <v>23</v>
      </c>
      <c r="E321" s="7" t="n">
        <v>5598</v>
      </c>
      <c r="F321" s="7" t="n">
        <v>3682</v>
      </c>
      <c r="G321" s="7" t="n">
        <v>386</v>
      </c>
      <c r="H321" s="7" t="n">
        <v>49</v>
      </c>
      <c r="I321" s="7" t="n">
        <v>103</v>
      </c>
      <c r="J321" s="8" t="n">
        <v>14.61</v>
      </c>
      <c r="K321" s="9" t="n">
        <f aca="false">(G321+H321+I321)/E321</f>
        <v>0.0961057520543051</v>
      </c>
    </row>
    <row r="322" customFormat="false" ht="14.25" hidden="false" customHeight="true" outlineLevel="0" collapsed="false">
      <c r="A322" s="5" t="s">
        <v>346</v>
      </c>
      <c r="B322" s="5" t="s">
        <v>25</v>
      </c>
      <c r="C322" s="6" t="n">
        <v>45762</v>
      </c>
      <c r="D322" s="5" t="s">
        <v>23</v>
      </c>
      <c r="E322" s="7" t="n">
        <v>306705</v>
      </c>
      <c r="F322" s="7" t="n">
        <v>134992</v>
      </c>
      <c r="G322" s="7" t="n">
        <v>9568</v>
      </c>
      <c r="H322" s="7" t="n">
        <v>3423</v>
      </c>
      <c r="I322" s="7" t="n">
        <v>4805</v>
      </c>
      <c r="J322" s="8" t="n">
        <v>13.18</v>
      </c>
      <c r="K322" s="9" t="n">
        <f aca="false">(G322+H322+I322)/E322</f>
        <v>0.0580231818848731</v>
      </c>
    </row>
    <row r="323" customFormat="false" ht="14.25" hidden="false" customHeight="true" outlineLevel="0" collapsed="false">
      <c r="A323" s="5" t="s">
        <v>347</v>
      </c>
      <c r="B323" s="5" t="s">
        <v>33</v>
      </c>
      <c r="C323" s="6" t="n">
        <v>45915</v>
      </c>
      <c r="D323" s="5" t="s">
        <v>23</v>
      </c>
      <c r="E323" s="7" t="n">
        <v>30792</v>
      </c>
      <c r="F323" s="7" t="n">
        <v>12851</v>
      </c>
      <c r="G323" s="7" t="n">
        <v>505</v>
      </c>
      <c r="H323" s="7" t="n">
        <v>316</v>
      </c>
      <c r="I323" s="7" t="n">
        <v>165</v>
      </c>
      <c r="J323" s="8" t="n">
        <v>7.67</v>
      </c>
      <c r="K323" s="9" t="n">
        <f aca="false">(G323+H323+I323)/E323</f>
        <v>0.0320213042348662</v>
      </c>
    </row>
    <row r="324" customFormat="false" ht="14.25" hidden="false" customHeight="true" outlineLevel="0" collapsed="false">
      <c r="A324" s="5" t="s">
        <v>348</v>
      </c>
      <c r="B324" s="5" t="s">
        <v>18</v>
      </c>
      <c r="C324" s="6" t="n">
        <v>45746</v>
      </c>
      <c r="D324" s="5" t="s">
        <v>26</v>
      </c>
      <c r="E324" s="7" t="n">
        <v>73153</v>
      </c>
      <c r="F324" s="7" t="n">
        <v>56905</v>
      </c>
      <c r="G324" s="7" t="n">
        <v>1484</v>
      </c>
      <c r="H324" s="7" t="n">
        <v>708</v>
      </c>
      <c r="I324" s="7" t="n">
        <v>160</v>
      </c>
      <c r="J324" s="8" t="n">
        <v>4.13</v>
      </c>
      <c r="K324" s="9" t="n">
        <f aca="false">(G324+H324+I324)/E324</f>
        <v>0.0321517914507949</v>
      </c>
    </row>
    <row r="325" customFormat="false" ht="14.25" hidden="false" customHeight="true" outlineLevel="0" collapsed="false">
      <c r="A325" s="5" t="s">
        <v>349</v>
      </c>
      <c r="B325" s="5" t="s">
        <v>14</v>
      </c>
      <c r="C325" s="6" t="n">
        <v>45624</v>
      </c>
      <c r="D325" s="5" t="s">
        <v>19</v>
      </c>
      <c r="E325" s="7" t="n">
        <v>10732</v>
      </c>
      <c r="F325" s="7" t="n">
        <v>3373</v>
      </c>
      <c r="G325" s="7" t="n">
        <v>123</v>
      </c>
      <c r="H325" s="7" t="n">
        <v>36</v>
      </c>
      <c r="I325" s="7" t="n">
        <v>44</v>
      </c>
      <c r="J325" s="8" t="n">
        <v>6.02</v>
      </c>
      <c r="K325" s="9" t="n">
        <f aca="false">(G325+H325+I325)/E325</f>
        <v>0.0189153932165486</v>
      </c>
    </row>
    <row r="326" customFormat="false" ht="14.25" hidden="false" customHeight="true" outlineLevel="0" collapsed="false">
      <c r="A326" s="5" t="s">
        <v>350</v>
      </c>
      <c r="B326" s="5" t="s">
        <v>18</v>
      </c>
      <c r="C326" s="6" t="n">
        <v>45546</v>
      </c>
      <c r="D326" s="5" t="s">
        <v>23</v>
      </c>
      <c r="E326" s="7" t="n">
        <v>93195</v>
      </c>
      <c r="F326" s="7" t="n">
        <v>60976</v>
      </c>
      <c r="G326" s="7" t="n">
        <v>3788</v>
      </c>
      <c r="H326" s="7" t="n">
        <v>358</v>
      </c>
      <c r="I326" s="7" t="n">
        <v>80</v>
      </c>
      <c r="J326" s="8" t="n">
        <v>6.93</v>
      </c>
      <c r="K326" s="9" t="n">
        <f aca="false">(G326+H326+I326)/E326</f>
        <v>0.0453457803530232</v>
      </c>
    </row>
    <row r="327" customFormat="false" ht="14.25" hidden="false" customHeight="true" outlineLevel="0" collapsed="false">
      <c r="A327" s="5" t="s">
        <v>351</v>
      </c>
      <c r="B327" s="5" t="s">
        <v>33</v>
      </c>
      <c r="C327" s="6" t="n">
        <v>45386</v>
      </c>
      <c r="D327" s="5" t="s">
        <v>19</v>
      </c>
      <c r="E327" s="7" t="n">
        <v>17412</v>
      </c>
      <c r="F327" s="7" t="n">
        <v>7956</v>
      </c>
      <c r="G327" s="7" t="n">
        <v>294</v>
      </c>
      <c r="H327" s="7" t="n">
        <v>74</v>
      </c>
      <c r="I327" s="7" t="n">
        <v>45</v>
      </c>
      <c r="J327" s="8" t="n">
        <v>5.19</v>
      </c>
      <c r="K327" s="9" t="n">
        <f aca="false">(G327+H327+I327)/E327</f>
        <v>0.023719274063864</v>
      </c>
    </row>
    <row r="328" customFormat="false" ht="14.25" hidden="false" customHeight="true" outlineLevel="0" collapsed="false">
      <c r="A328" s="5" t="s">
        <v>352</v>
      </c>
      <c r="B328" s="5" t="s">
        <v>18</v>
      </c>
      <c r="C328" s="6" t="n">
        <v>45733</v>
      </c>
      <c r="D328" s="5" t="s">
        <v>28</v>
      </c>
      <c r="E328" s="7" t="n">
        <v>25766</v>
      </c>
      <c r="F328" s="7" t="n">
        <v>17472</v>
      </c>
      <c r="G328" s="7" t="n">
        <v>398</v>
      </c>
      <c r="H328" s="7" t="n">
        <v>35</v>
      </c>
      <c r="I328" s="7" t="n">
        <v>33</v>
      </c>
      <c r="J328" s="8" t="n">
        <v>2.67</v>
      </c>
      <c r="K328" s="9" t="n">
        <f aca="false">(G328+H328+I328)/E328</f>
        <v>0.0180858495691997</v>
      </c>
    </row>
    <row r="329" customFormat="false" ht="14.25" hidden="false" customHeight="true" outlineLevel="0" collapsed="false">
      <c r="A329" s="5" t="s">
        <v>353</v>
      </c>
      <c r="B329" s="5" t="s">
        <v>33</v>
      </c>
      <c r="C329" s="6" t="n">
        <v>45752</v>
      </c>
      <c r="D329" s="5" t="s">
        <v>28</v>
      </c>
      <c r="E329" s="7" t="n">
        <v>21648</v>
      </c>
      <c r="F329" s="7" t="n">
        <v>14255</v>
      </c>
      <c r="G329" s="7" t="n">
        <v>236</v>
      </c>
      <c r="H329" s="7" t="n">
        <v>212</v>
      </c>
      <c r="I329" s="7" t="n">
        <v>114</v>
      </c>
      <c r="J329" s="8" t="n">
        <v>3.94</v>
      </c>
      <c r="K329" s="9" t="n">
        <f aca="false">(G329+H329+I329)/E329</f>
        <v>0.0259608277900961</v>
      </c>
    </row>
    <row r="330" customFormat="false" ht="14.25" hidden="false" customHeight="true" outlineLevel="0" collapsed="false">
      <c r="A330" s="5" t="s">
        <v>354</v>
      </c>
      <c r="B330" s="5" t="s">
        <v>14</v>
      </c>
      <c r="C330" s="6" t="n">
        <v>45938</v>
      </c>
      <c r="D330" s="5" t="s">
        <v>28</v>
      </c>
      <c r="E330" s="7" t="n">
        <v>19688</v>
      </c>
      <c r="F330" s="7" t="n">
        <v>9234</v>
      </c>
      <c r="G330" s="7" t="n">
        <v>144</v>
      </c>
      <c r="H330" s="7" t="n">
        <v>38</v>
      </c>
      <c r="I330" s="7" t="n">
        <v>143</v>
      </c>
      <c r="J330" s="8" t="n">
        <v>3.52</v>
      </c>
      <c r="K330" s="9" t="n">
        <f aca="false">(G330+H330+I330)/E330</f>
        <v>0.0165075172694027</v>
      </c>
    </row>
    <row r="331" customFormat="false" ht="14.25" hidden="false" customHeight="true" outlineLevel="0" collapsed="false">
      <c r="A331" s="5" t="s">
        <v>355</v>
      </c>
      <c r="B331" s="5" t="s">
        <v>14</v>
      </c>
      <c r="C331" s="6" t="n">
        <v>45982</v>
      </c>
      <c r="D331" s="5" t="s">
        <v>15</v>
      </c>
      <c r="E331" s="7" t="n">
        <v>8513</v>
      </c>
      <c r="F331" s="7" t="n">
        <v>5731</v>
      </c>
      <c r="G331" s="7" t="n">
        <v>225</v>
      </c>
      <c r="H331" s="7" t="n">
        <v>19</v>
      </c>
      <c r="I331" s="7" t="n">
        <v>32</v>
      </c>
      <c r="J331" s="8" t="n">
        <v>4.82</v>
      </c>
      <c r="K331" s="9" t="n">
        <f aca="false">(G331+H331+I331)/E331</f>
        <v>0.0324210031716199</v>
      </c>
    </row>
    <row r="332" customFormat="false" ht="14.25" hidden="false" customHeight="true" outlineLevel="0" collapsed="false">
      <c r="A332" s="5" t="s">
        <v>356</v>
      </c>
      <c r="B332" s="5" t="s">
        <v>25</v>
      </c>
      <c r="C332" s="6" t="n">
        <v>45591</v>
      </c>
      <c r="D332" s="5" t="s">
        <v>26</v>
      </c>
      <c r="E332" s="7" t="n">
        <v>316751</v>
      </c>
      <c r="F332" s="7" t="n">
        <v>111513</v>
      </c>
      <c r="G332" s="7" t="n">
        <v>8271</v>
      </c>
      <c r="H332" s="7" t="n">
        <v>2148</v>
      </c>
      <c r="I332" s="7" t="n">
        <v>5564</v>
      </c>
      <c r="J332" s="8" t="n">
        <v>14.33</v>
      </c>
      <c r="K332" s="9" t="n">
        <f aca="false">(G332+H332+I332)/E332</f>
        <v>0.0504591934989945</v>
      </c>
    </row>
    <row r="333" customFormat="false" ht="14.25" hidden="false" customHeight="true" outlineLevel="0" collapsed="false">
      <c r="A333" s="5" t="s">
        <v>357</v>
      </c>
      <c r="B333" s="5" t="s">
        <v>33</v>
      </c>
      <c r="C333" s="6" t="n">
        <v>45602</v>
      </c>
      <c r="D333" s="5" t="s">
        <v>15</v>
      </c>
      <c r="E333" s="7" t="n">
        <v>10552</v>
      </c>
      <c r="F333" s="7" t="n">
        <v>7876</v>
      </c>
      <c r="G333" s="7" t="n">
        <v>129</v>
      </c>
      <c r="H333" s="7" t="n">
        <v>174</v>
      </c>
      <c r="I333" s="7" t="n">
        <v>50</v>
      </c>
      <c r="J333" s="8" t="n">
        <v>4.48</v>
      </c>
      <c r="K333" s="9" t="n">
        <f aca="false">(G333+H333+I333)/E333</f>
        <v>0.0334533737680061</v>
      </c>
    </row>
    <row r="334" customFormat="false" ht="14.25" hidden="false" customHeight="true" outlineLevel="0" collapsed="false">
      <c r="A334" s="5" t="s">
        <v>358</v>
      </c>
      <c r="B334" s="5" t="s">
        <v>33</v>
      </c>
      <c r="C334" s="6" t="n">
        <v>45973</v>
      </c>
      <c r="D334" s="5" t="s">
        <v>28</v>
      </c>
      <c r="E334" s="7" t="n">
        <v>19145</v>
      </c>
      <c r="F334" s="7" t="n">
        <v>14594</v>
      </c>
      <c r="G334" s="7" t="n">
        <v>481</v>
      </c>
      <c r="H334" s="7" t="n">
        <v>185</v>
      </c>
      <c r="I334" s="7" t="n">
        <v>191</v>
      </c>
      <c r="J334" s="8" t="n">
        <v>5.87</v>
      </c>
      <c r="K334" s="9" t="n">
        <f aca="false">(G334+H334+I334)/E334</f>
        <v>0.044763645860538</v>
      </c>
    </row>
    <row r="335" customFormat="false" ht="14.25" hidden="false" customHeight="true" outlineLevel="0" collapsed="false">
      <c r="A335" s="5" t="s">
        <v>359</v>
      </c>
      <c r="B335" s="5" t="s">
        <v>14</v>
      </c>
      <c r="C335" s="6" t="n">
        <v>45399</v>
      </c>
      <c r="D335" s="5" t="s">
        <v>28</v>
      </c>
      <c r="E335" s="7" t="n">
        <v>9138</v>
      </c>
      <c r="F335" s="7" t="n">
        <v>4166</v>
      </c>
      <c r="G335" s="7" t="n">
        <v>199</v>
      </c>
      <c r="H335" s="7" t="n">
        <v>16</v>
      </c>
      <c r="I335" s="7" t="n">
        <v>57</v>
      </c>
      <c r="J335" s="8" t="n">
        <v>6.53</v>
      </c>
      <c r="K335" s="9" t="n">
        <f aca="false">(G335+H335+I335)/E335</f>
        <v>0.0297658130882031</v>
      </c>
    </row>
    <row r="336" customFormat="false" ht="14.25" hidden="false" customHeight="true" outlineLevel="0" collapsed="false">
      <c r="A336" s="5" t="s">
        <v>360</v>
      </c>
      <c r="B336" s="5" t="s">
        <v>14</v>
      </c>
      <c r="C336" s="6" t="n">
        <v>45889</v>
      </c>
      <c r="D336" s="5" t="s">
        <v>28</v>
      </c>
      <c r="E336" s="7" t="n">
        <v>11044</v>
      </c>
      <c r="F336" s="7" t="n">
        <v>5138</v>
      </c>
      <c r="G336" s="7" t="n">
        <v>96</v>
      </c>
      <c r="H336" s="7" t="n">
        <v>25</v>
      </c>
      <c r="I336" s="7" t="n">
        <v>126</v>
      </c>
      <c r="J336" s="8" t="n">
        <v>4.81</v>
      </c>
      <c r="K336" s="9" t="n">
        <f aca="false">(G336+H336+I336)/E336</f>
        <v>0.0223650851140891</v>
      </c>
    </row>
    <row r="337" customFormat="false" ht="14.25" hidden="false" customHeight="true" outlineLevel="0" collapsed="false">
      <c r="A337" s="5" t="s">
        <v>361</v>
      </c>
      <c r="B337" s="5" t="s">
        <v>22</v>
      </c>
      <c r="C337" s="6" t="n">
        <v>45909</v>
      </c>
      <c r="D337" s="5" t="s">
        <v>15</v>
      </c>
      <c r="E337" s="7" t="n">
        <v>12620</v>
      </c>
      <c r="F337" s="7" t="n">
        <v>6694</v>
      </c>
      <c r="G337" s="7" t="n">
        <v>170</v>
      </c>
      <c r="H337" s="7" t="n">
        <v>35</v>
      </c>
      <c r="I337" s="7" t="n">
        <v>66</v>
      </c>
      <c r="J337" s="8" t="n">
        <v>4.05</v>
      </c>
      <c r="K337" s="9" t="n">
        <f aca="false">(G337+H337+I337)/E337</f>
        <v>0.0214738510301109</v>
      </c>
    </row>
    <row r="338" customFormat="false" ht="14.25" hidden="false" customHeight="true" outlineLevel="0" collapsed="false">
      <c r="A338" s="5" t="s">
        <v>362</v>
      </c>
      <c r="B338" s="5" t="s">
        <v>25</v>
      </c>
      <c r="C338" s="6" t="n">
        <v>45948</v>
      </c>
      <c r="D338" s="5" t="s">
        <v>23</v>
      </c>
      <c r="E338" s="7" t="n">
        <v>247191</v>
      </c>
      <c r="F338" s="7" t="n">
        <v>128198</v>
      </c>
      <c r="G338" s="7" t="n">
        <v>5433</v>
      </c>
      <c r="H338" s="7" t="n">
        <v>2339</v>
      </c>
      <c r="I338" s="7" t="n">
        <v>2598</v>
      </c>
      <c r="J338" s="8" t="n">
        <v>8.09</v>
      </c>
      <c r="K338" s="9" t="n">
        <f aca="false">(G338+H338+I338)/E338</f>
        <v>0.0419513655432439</v>
      </c>
    </row>
    <row r="339" customFormat="false" ht="14.25" hidden="false" customHeight="true" outlineLevel="0" collapsed="false">
      <c r="A339" s="5" t="s">
        <v>363</v>
      </c>
      <c r="B339" s="5" t="s">
        <v>33</v>
      </c>
      <c r="C339" s="6" t="n">
        <v>45952</v>
      </c>
      <c r="D339" s="5" t="s">
        <v>28</v>
      </c>
      <c r="E339" s="7" t="n">
        <v>31709</v>
      </c>
      <c r="F339" s="7" t="n">
        <v>25229</v>
      </c>
      <c r="G339" s="7" t="n">
        <v>1330</v>
      </c>
      <c r="H339" s="7" t="n">
        <v>383</v>
      </c>
      <c r="I339" s="7" t="n">
        <v>261</v>
      </c>
      <c r="J339" s="8" t="n">
        <v>7.82</v>
      </c>
      <c r="K339" s="9" t="n">
        <f aca="false">(G339+H339+I339)/E339</f>
        <v>0.0622536188463843</v>
      </c>
    </row>
    <row r="340" customFormat="false" ht="14.25" hidden="false" customHeight="true" outlineLevel="0" collapsed="false">
      <c r="A340" s="5" t="s">
        <v>364</v>
      </c>
      <c r="B340" s="5" t="s">
        <v>14</v>
      </c>
      <c r="C340" s="6" t="n">
        <v>45452</v>
      </c>
      <c r="D340" s="5" t="s">
        <v>15</v>
      </c>
      <c r="E340" s="7" t="n">
        <v>29217</v>
      </c>
      <c r="F340" s="7" t="n">
        <v>17521</v>
      </c>
      <c r="G340" s="7" t="n">
        <v>533</v>
      </c>
      <c r="H340" s="7" t="n">
        <v>125</v>
      </c>
      <c r="I340" s="7" t="n">
        <v>231</v>
      </c>
      <c r="J340" s="8" t="n">
        <v>5.07</v>
      </c>
      <c r="K340" s="9" t="n">
        <f aca="false">(G340+H340+I340)/E340</f>
        <v>0.0304274908443714</v>
      </c>
    </row>
    <row r="341" customFormat="false" ht="14.25" hidden="false" customHeight="true" outlineLevel="0" collapsed="false">
      <c r="A341" s="5" t="s">
        <v>365</v>
      </c>
      <c r="B341" s="5" t="s">
        <v>18</v>
      </c>
      <c r="C341" s="6" t="n">
        <v>45744</v>
      </c>
      <c r="D341" s="5" t="s">
        <v>19</v>
      </c>
      <c r="E341" s="7" t="n">
        <v>8066</v>
      </c>
      <c r="F341" s="7" t="n">
        <v>4863</v>
      </c>
      <c r="G341" s="7" t="n">
        <v>215</v>
      </c>
      <c r="H341" s="7" t="n">
        <v>20</v>
      </c>
      <c r="I341" s="7" t="n">
        <v>17</v>
      </c>
      <c r="J341" s="8" t="n">
        <v>5.18</v>
      </c>
      <c r="K341" s="9" t="n">
        <f aca="false">(G341+H341+I341)/E341</f>
        <v>0.0312422514257377</v>
      </c>
    </row>
    <row r="342" customFormat="false" ht="14.25" hidden="false" customHeight="true" outlineLevel="0" collapsed="false">
      <c r="A342" s="5" t="s">
        <v>366</v>
      </c>
      <c r="B342" s="5" t="s">
        <v>25</v>
      </c>
      <c r="C342" s="6" t="n">
        <v>46002</v>
      </c>
      <c r="D342" s="5" t="s">
        <v>23</v>
      </c>
      <c r="E342" s="7" t="n">
        <v>264047</v>
      </c>
      <c r="F342" s="7" t="n">
        <v>81476</v>
      </c>
      <c r="G342" s="7" t="n">
        <v>3479</v>
      </c>
      <c r="H342" s="7" t="n">
        <v>618</v>
      </c>
      <c r="I342" s="7" t="n">
        <v>2604</v>
      </c>
      <c r="J342" s="8" t="n">
        <v>8.22</v>
      </c>
      <c r="K342" s="9" t="n">
        <f aca="false">(G342+H342+I342)/E342</f>
        <v>0.0253780576942741</v>
      </c>
    </row>
    <row r="343" customFormat="false" ht="14.25" hidden="false" customHeight="true" outlineLevel="0" collapsed="false">
      <c r="A343" s="5" t="s">
        <v>367</v>
      </c>
      <c r="B343" s="5" t="s">
        <v>33</v>
      </c>
      <c r="C343" s="6" t="n">
        <v>45610</v>
      </c>
      <c r="D343" s="5" t="s">
        <v>19</v>
      </c>
      <c r="E343" s="7" t="n">
        <v>13164</v>
      </c>
      <c r="F343" s="7" t="n">
        <v>10464</v>
      </c>
      <c r="G343" s="7" t="n">
        <v>408</v>
      </c>
      <c r="H343" s="7" t="n">
        <v>208</v>
      </c>
      <c r="I343" s="7" t="n">
        <v>78</v>
      </c>
      <c r="J343" s="8" t="n">
        <v>6.63</v>
      </c>
      <c r="K343" s="9" t="n">
        <f aca="false">(G343+H343+I343)/E343</f>
        <v>0.0527195381343057</v>
      </c>
    </row>
    <row r="344" customFormat="false" ht="14.25" hidden="false" customHeight="true" outlineLevel="0" collapsed="false">
      <c r="A344" s="5" t="s">
        <v>368</v>
      </c>
      <c r="B344" s="5" t="s">
        <v>25</v>
      </c>
      <c r="C344" s="6" t="n">
        <v>45784</v>
      </c>
      <c r="D344" s="5" t="s">
        <v>26</v>
      </c>
      <c r="E344" s="7" t="n">
        <v>56416</v>
      </c>
      <c r="F344" s="7" t="n">
        <v>35535</v>
      </c>
      <c r="G344" s="7" t="n">
        <v>3399</v>
      </c>
      <c r="H344" s="7" t="n">
        <v>1056</v>
      </c>
      <c r="I344" s="7" t="n">
        <v>1427</v>
      </c>
      <c r="J344" s="8" t="n">
        <v>16.55</v>
      </c>
      <c r="K344" s="9" t="n">
        <f aca="false">(G344+H344+I344)/E344</f>
        <v>0.104261202495746</v>
      </c>
    </row>
    <row r="345" customFormat="false" ht="14.25" hidden="false" customHeight="true" outlineLevel="0" collapsed="false">
      <c r="A345" s="5" t="s">
        <v>369</v>
      </c>
      <c r="B345" s="5" t="s">
        <v>14</v>
      </c>
      <c r="C345" s="6" t="n">
        <v>45390</v>
      </c>
      <c r="D345" s="5" t="s">
        <v>19</v>
      </c>
      <c r="E345" s="7" t="n">
        <v>28841</v>
      </c>
      <c r="F345" s="7" t="n">
        <v>15199</v>
      </c>
      <c r="G345" s="7" t="n">
        <v>437</v>
      </c>
      <c r="H345" s="7" t="n">
        <v>62</v>
      </c>
      <c r="I345" s="7" t="n">
        <v>345</v>
      </c>
      <c r="J345" s="8" t="n">
        <v>5.55</v>
      </c>
      <c r="K345" s="9" t="n">
        <f aca="false">(G345+H345+I345)/E345</f>
        <v>0.0292638951492667</v>
      </c>
    </row>
    <row r="346" customFormat="false" ht="14.25" hidden="false" customHeight="true" outlineLevel="0" collapsed="false">
      <c r="A346" s="5" t="s">
        <v>370</v>
      </c>
      <c r="B346" s="5" t="s">
        <v>25</v>
      </c>
      <c r="C346" s="6" t="n">
        <v>45703</v>
      </c>
      <c r="D346" s="5" t="s">
        <v>26</v>
      </c>
      <c r="E346" s="7" t="n">
        <v>214985</v>
      </c>
      <c r="F346" s="7" t="n">
        <v>119268</v>
      </c>
      <c r="G346" s="7" t="n">
        <v>6728</v>
      </c>
      <c r="H346" s="7" t="n">
        <v>1472</v>
      </c>
      <c r="I346" s="7" t="n">
        <v>5666</v>
      </c>
      <c r="J346" s="8" t="n">
        <v>11.63</v>
      </c>
      <c r="K346" s="9" t="n">
        <f aca="false">(G346+H346+I346)/E346</f>
        <v>0.0644975230830058</v>
      </c>
    </row>
    <row r="347" customFormat="false" ht="14.25" hidden="false" customHeight="true" outlineLevel="0" collapsed="false">
      <c r="A347" s="5" t="s">
        <v>371</v>
      </c>
      <c r="B347" s="5" t="s">
        <v>14</v>
      </c>
      <c r="C347" s="6" t="n">
        <v>45410</v>
      </c>
      <c r="D347" s="5" t="s">
        <v>28</v>
      </c>
      <c r="E347" s="7" t="n">
        <v>31504</v>
      </c>
      <c r="F347" s="7" t="n">
        <v>10696</v>
      </c>
      <c r="G347" s="7" t="n">
        <v>231</v>
      </c>
      <c r="H347" s="7" t="n">
        <v>128</v>
      </c>
      <c r="I347" s="7" t="n">
        <v>219</v>
      </c>
      <c r="J347" s="8" t="n">
        <v>5.4</v>
      </c>
      <c r="K347" s="9" t="n">
        <f aca="false">(G347+H347+I347)/E347</f>
        <v>0.0183468765871001</v>
      </c>
    </row>
    <row r="348" customFormat="false" ht="14.25" hidden="false" customHeight="true" outlineLevel="0" collapsed="false">
      <c r="A348" s="5" t="s">
        <v>372</v>
      </c>
      <c r="B348" s="5" t="s">
        <v>25</v>
      </c>
      <c r="C348" s="6" t="n">
        <v>45469</v>
      </c>
      <c r="D348" s="5" t="s">
        <v>26</v>
      </c>
      <c r="E348" s="7" t="n">
        <v>102103</v>
      </c>
      <c r="F348" s="7" t="n">
        <v>54662</v>
      </c>
      <c r="G348" s="7" t="n">
        <v>2050</v>
      </c>
      <c r="H348" s="7" t="n">
        <v>308</v>
      </c>
      <c r="I348" s="7" t="n">
        <v>1227</v>
      </c>
      <c r="J348" s="8" t="n">
        <v>6.56</v>
      </c>
      <c r="K348" s="9" t="n">
        <f aca="false">(G348+H348+I348)/E348</f>
        <v>0.0351116029891384</v>
      </c>
    </row>
    <row r="349" customFormat="false" ht="14.25" hidden="false" customHeight="true" outlineLevel="0" collapsed="false">
      <c r="A349" s="5" t="s">
        <v>373</v>
      </c>
      <c r="B349" s="5" t="s">
        <v>22</v>
      </c>
      <c r="C349" s="6" t="n">
        <v>45942</v>
      </c>
      <c r="D349" s="5" t="s">
        <v>15</v>
      </c>
      <c r="E349" s="7" t="n">
        <v>19717</v>
      </c>
      <c r="F349" s="7" t="n">
        <v>14350</v>
      </c>
      <c r="G349" s="7" t="n">
        <v>404</v>
      </c>
      <c r="H349" s="7" t="n">
        <v>78</v>
      </c>
      <c r="I349" s="7" t="n">
        <v>69</v>
      </c>
      <c r="J349" s="8" t="n">
        <v>3.84</v>
      </c>
      <c r="K349" s="9" t="n">
        <f aca="false">(G349+H349+I349)/E349</f>
        <v>0.0279454278034184</v>
      </c>
    </row>
    <row r="350" customFormat="false" ht="14.25" hidden="false" customHeight="true" outlineLevel="0" collapsed="false">
      <c r="A350" s="5" t="s">
        <v>374</v>
      </c>
      <c r="B350" s="5" t="s">
        <v>18</v>
      </c>
      <c r="C350" s="6" t="n">
        <v>45545</v>
      </c>
      <c r="D350" s="5" t="s">
        <v>28</v>
      </c>
      <c r="E350" s="7" t="n">
        <v>7459</v>
      </c>
      <c r="F350" s="7" t="n">
        <v>4885</v>
      </c>
      <c r="G350" s="7" t="n">
        <v>118</v>
      </c>
      <c r="H350" s="7" t="n">
        <v>27</v>
      </c>
      <c r="I350" s="7" t="n">
        <v>33</v>
      </c>
      <c r="J350" s="8" t="n">
        <v>3.64</v>
      </c>
      <c r="K350" s="9" t="n">
        <f aca="false">(G350+H350+I350)/E350</f>
        <v>0.0238637887116235</v>
      </c>
    </row>
    <row r="351" customFormat="false" ht="14.25" hidden="false" customHeight="true" outlineLevel="0" collapsed="false">
      <c r="A351" s="5" t="s">
        <v>375</v>
      </c>
      <c r="B351" s="5" t="s">
        <v>22</v>
      </c>
      <c r="C351" s="6" t="n">
        <v>45722</v>
      </c>
      <c r="D351" s="5" t="s">
        <v>19</v>
      </c>
      <c r="E351" s="7" t="n">
        <v>22811</v>
      </c>
      <c r="F351" s="7" t="n">
        <v>18298</v>
      </c>
      <c r="G351" s="7" t="n">
        <v>108</v>
      </c>
      <c r="H351" s="7" t="n">
        <v>101</v>
      </c>
      <c r="I351" s="7" t="n">
        <v>201</v>
      </c>
      <c r="J351" s="8" t="n">
        <v>2.24</v>
      </c>
      <c r="K351" s="9" t="n">
        <f aca="false">(G351+H351+I351)/E351</f>
        <v>0.0179737845776161</v>
      </c>
    </row>
    <row r="352" customFormat="false" ht="14.25" hidden="false" customHeight="true" outlineLevel="0" collapsed="false">
      <c r="A352" s="5" t="s">
        <v>376</v>
      </c>
      <c r="B352" s="5" t="s">
        <v>18</v>
      </c>
      <c r="C352" s="6" t="n">
        <v>45661</v>
      </c>
      <c r="D352" s="5" t="s">
        <v>28</v>
      </c>
      <c r="E352" s="7" t="n">
        <v>73989</v>
      </c>
      <c r="F352" s="7" t="n">
        <v>54712</v>
      </c>
      <c r="G352" s="7" t="n">
        <v>1906</v>
      </c>
      <c r="H352" s="7" t="n">
        <v>183</v>
      </c>
      <c r="I352" s="7" t="n">
        <v>526</v>
      </c>
      <c r="J352" s="8" t="n">
        <v>4.78</v>
      </c>
      <c r="K352" s="9" t="n">
        <f aca="false">(G352+H352+I352)/E352</f>
        <v>0.0353430915406344</v>
      </c>
    </row>
    <row r="353" customFormat="false" ht="14.25" hidden="false" customHeight="true" outlineLevel="0" collapsed="false">
      <c r="A353" s="5" t="s">
        <v>377</v>
      </c>
      <c r="B353" s="5" t="s">
        <v>33</v>
      </c>
      <c r="C353" s="6" t="n">
        <v>45711</v>
      </c>
      <c r="D353" s="5" t="s">
        <v>23</v>
      </c>
      <c r="E353" s="7" t="n">
        <v>2343</v>
      </c>
      <c r="F353" s="7" t="n">
        <v>1773</v>
      </c>
      <c r="G353" s="7" t="n">
        <v>62</v>
      </c>
      <c r="H353" s="7" t="n">
        <v>23</v>
      </c>
      <c r="I353" s="7" t="n">
        <v>8</v>
      </c>
      <c r="J353" s="8" t="n">
        <v>5.25</v>
      </c>
      <c r="K353" s="9" t="n">
        <f aca="false">(G353+H353+I353)/E353</f>
        <v>0.0396927016645327</v>
      </c>
    </row>
    <row r="354" customFormat="false" ht="14.25" hidden="false" customHeight="true" outlineLevel="0" collapsed="false">
      <c r="A354" s="5" t="s">
        <v>378</v>
      </c>
      <c r="B354" s="5" t="s">
        <v>18</v>
      </c>
      <c r="C354" s="6" t="n">
        <v>45814</v>
      </c>
      <c r="D354" s="5" t="s">
        <v>28</v>
      </c>
      <c r="E354" s="7" t="n">
        <v>66048</v>
      </c>
      <c r="F354" s="7" t="n">
        <v>36305</v>
      </c>
      <c r="G354" s="7" t="n">
        <v>1924</v>
      </c>
      <c r="H354" s="7" t="n">
        <v>108</v>
      </c>
      <c r="I354" s="7" t="n">
        <v>339</v>
      </c>
      <c r="J354" s="8" t="n">
        <v>6.53</v>
      </c>
      <c r="K354" s="9" t="n">
        <f aca="false">(G354+H354+I354)/E354</f>
        <v>0.0358981346899225</v>
      </c>
    </row>
    <row r="355" customFormat="false" ht="14.25" hidden="false" customHeight="true" outlineLevel="0" collapsed="false">
      <c r="A355" s="5" t="s">
        <v>379</v>
      </c>
      <c r="B355" s="5" t="s">
        <v>18</v>
      </c>
      <c r="C355" s="6" t="n">
        <v>45419</v>
      </c>
      <c r="D355" s="5" t="s">
        <v>28</v>
      </c>
      <c r="E355" s="7" t="n">
        <v>27305</v>
      </c>
      <c r="F355" s="7" t="n">
        <v>17772</v>
      </c>
      <c r="G355" s="7" t="n">
        <v>659</v>
      </c>
      <c r="H355" s="7" t="n">
        <v>261</v>
      </c>
      <c r="I355" s="7" t="n">
        <v>143</v>
      </c>
      <c r="J355" s="8" t="n">
        <v>5.98</v>
      </c>
      <c r="K355" s="9" t="n">
        <f aca="false">(G355+H355+I355)/E355</f>
        <v>0.0389305987914301</v>
      </c>
    </row>
    <row r="356" customFormat="false" ht="14.25" hidden="false" customHeight="true" outlineLevel="0" collapsed="false">
      <c r="A356" s="5" t="s">
        <v>380</v>
      </c>
      <c r="B356" s="5" t="s">
        <v>25</v>
      </c>
      <c r="C356" s="6" t="n">
        <v>45578</v>
      </c>
      <c r="D356" s="5" t="s">
        <v>23</v>
      </c>
      <c r="E356" s="7" t="n">
        <v>361953</v>
      </c>
      <c r="F356" s="7" t="n">
        <v>125768</v>
      </c>
      <c r="G356" s="7" t="n">
        <v>4600</v>
      </c>
      <c r="H356" s="7" t="n">
        <v>3755</v>
      </c>
      <c r="I356" s="7" t="n">
        <v>4516</v>
      </c>
      <c r="J356" s="8" t="n">
        <v>10.23</v>
      </c>
      <c r="K356" s="9" t="n">
        <f aca="false">(G356+H356+I356)/E356</f>
        <v>0.0355598655074001</v>
      </c>
    </row>
    <row r="357" customFormat="false" ht="14.25" hidden="false" customHeight="true" outlineLevel="0" collapsed="false">
      <c r="A357" s="5" t="s">
        <v>381</v>
      </c>
      <c r="B357" s="5" t="s">
        <v>25</v>
      </c>
      <c r="C357" s="6" t="n">
        <v>45920</v>
      </c>
      <c r="D357" s="5" t="s">
        <v>23</v>
      </c>
      <c r="E357" s="7" t="n">
        <v>263357</v>
      </c>
      <c r="F357" s="7" t="n">
        <v>95152</v>
      </c>
      <c r="G357" s="7" t="n">
        <v>2884</v>
      </c>
      <c r="H357" s="7" t="n">
        <v>2099</v>
      </c>
      <c r="I357" s="7" t="n">
        <v>2917</v>
      </c>
      <c r="J357" s="8" t="n">
        <v>8.3</v>
      </c>
      <c r="K357" s="9" t="n">
        <f aca="false">(G357+H357+I357)/E357</f>
        <v>0.0299973040397635</v>
      </c>
    </row>
    <row r="358" customFormat="false" ht="14.25" hidden="false" customHeight="true" outlineLevel="0" collapsed="false">
      <c r="A358" s="5" t="s">
        <v>382</v>
      </c>
      <c r="B358" s="5" t="s">
        <v>18</v>
      </c>
      <c r="C358" s="6" t="n">
        <v>45406</v>
      </c>
      <c r="D358" s="5" t="s">
        <v>19</v>
      </c>
      <c r="E358" s="7" t="n">
        <v>23966</v>
      </c>
      <c r="F358" s="7" t="n">
        <v>17467</v>
      </c>
      <c r="G358" s="7" t="n">
        <v>901</v>
      </c>
      <c r="H358" s="7" t="n">
        <v>248</v>
      </c>
      <c r="I358" s="7" t="n">
        <v>73</v>
      </c>
      <c r="J358" s="8" t="n">
        <v>7</v>
      </c>
      <c r="K358" s="9" t="n">
        <f aca="false">(G358+H358+I358)/E358</f>
        <v>0.0509889009430026</v>
      </c>
    </row>
    <row r="359" customFormat="false" ht="14.25" hidden="false" customHeight="true" outlineLevel="0" collapsed="false">
      <c r="A359" s="5" t="s">
        <v>383</v>
      </c>
      <c r="B359" s="5" t="s">
        <v>18</v>
      </c>
      <c r="C359" s="6" t="n">
        <v>45364</v>
      </c>
      <c r="D359" s="5" t="s">
        <v>28</v>
      </c>
      <c r="E359" s="7" t="n">
        <v>52418</v>
      </c>
      <c r="F359" s="7" t="n">
        <v>25581</v>
      </c>
      <c r="G359" s="7" t="n">
        <v>572</v>
      </c>
      <c r="H359" s="7" t="n">
        <v>122</v>
      </c>
      <c r="I359" s="7" t="n">
        <v>122</v>
      </c>
      <c r="J359" s="8" t="n">
        <v>3.19</v>
      </c>
      <c r="K359" s="9" t="n">
        <f aca="false">(G359+H359+I359)/E359</f>
        <v>0.0155671715822809</v>
      </c>
    </row>
    <row r="360" customFormat="false" ht="14.25" hidden="false" customHeight="true" outlineLevel="0" collapsed="false">
      <c r="A360" s="5" t="s">
        <v>384</v>
      </c>
      <c r="B360" s="5" t="s">
        <v>14</v>
      </c>
      <c r="C360" s="6" t="n">
        <v>45297</v>
      </c>
      <c r="D360" s="5" t="s">
        <v>28</v>
      </c>
      <c r="E360" s="7" t="n">
        <v>31576</v>
      </c>
      <c r="F360" s="7" t="n">
        <v>10027</v>
      </c>
      <c r="G360" s="7" t="n">
        <v>190</v>
      </c>
      <c r="H360" s="7" t="n">
        <v>74</v>
      </c>
      <c r="I360" s="7" t="n">
        <v>116</v>
      </c>
      <c r="J360" s="8" t="n">
        <v>3.79</v>
      </c>
      <c r="K360" s="9" t="n">
        <f aca="false">(G360+H360+I360)/E360</f>
        <v>0.0120344565492779</v>
      </c>
    </row>
    <row r="361" customFormat="false" ht="14.25" hidden="false" customHeight="true" outlineLevel="0" collapsed="false">
      <c r="A361" s="5" t="s">
        <v>385</v>
      </c>
      <c r="B361" s="5" t="s">
        <v>18</v>
      </c>
      <c r="C361" s="6" t="n">
        <v>45932</v>
      </c>
      <c r="D361" s="5" t="s">
        <v>26</v>
      </c>
      <c r="E361" s="7" t="n">
        <v>87496</v>
      </c>
      <c r="F361" s="7" t="n">
        <v>66728</v>
      </c>
      <c r="G361" s="7" t="n">
        <v>2518</v>
      </c>
      <c r="H361" s="7" t="n">
        <v>635</v>
      </c>
      <c r="I361" s="7" t="n">
        <v>565</v>
      </c>
      <c r="J361" s="8" t="n">
        <v>5.57</v>
      </c>
      <c r="K361" s="9" t="n">
        <f aca="false">(G361+H361+I361)/E361</f>
        <v>0.0424933711255372</v>
      </c>
    </row>
    <row r="362" customFormat="false" ht="14.25" hidden="false" customHeight="true" outlineLevel="0" collapsed="false">
      <c r="A362" s="5" t="s">
        <v>386</v>
      </c>
      <c r="B362" s="5" t="s">
        <v>18</v>
      </c>
      <c r="C362" s="6" t="n">
        <v>45947</v>
      </c>
      <c r="D362" s="5" t="s">
        <v>26</v>
      </c>
      <c r="E362" s="7" t="n">
        <v>43720</v>
      </c>
      <c r="F362" s="7" t="n">
        <v>34730</v>
      </c>
      <c r="G362" s="7" t="n">
        <v>779</v>
      </c>
      <c r="H362" s="7" t="n">
        <v>414</v>
      </c>
      <c r="I362" s="7" t="n">
        <v>346</v>
      </c>
      <c r="J362" s="8" t="n">
        <v>4.43</v>
      </c>
      <c r="K362" s="9" t="n">
        <f aca="false">(G362+H362+I362)/E362</f>
        <v>0.0352012808783166</v>
      </c>
    </row>
    <row r="363" customFormat="false" ht="14.25" hidden="false" customHeight="true" outlineLevel="0" collapsed="false">
      <c r="A363" s="5" t="s">
        <v>387</v>
      </c>
      <c r="B363" s="5" t="s">
        <v>33</v>
      </c>
      <c r="C363" s="6" t="n">
        <v>45649</v>
      </c>
      <c r="D363" s="5" t="s">
        <v>19</v>
      </c>
      <c r="E363" s="7" t="n">
        <v>12715</v>
      </c>
      <c r="F363" s="7" t="n">
        <v>7180</v>
      </c>
      <c r="G363" s="7" t="n">
        <v>301</v>
      </c>
      <c r="H363" s="7" t="n">
        <v>39</v>
      </c>
      <c r="I363" s="7" t="n">
        <v>79</v>
      </c>
      <c r="J363" s="8" t="n">
        <v>5.84</v>
      </c>
      <c r="K363" s="9" t="n">
        <f aca="false">(G363+H363+I363)/E363</f>
        <v>0.0329532048761306</v>
      </c>
    </row>
    <row r="364" customFormat="false" ht="14.25" hidden="false" customHeight="true" outlineLevel="0" collapsed="false">
      <c r="A364" s="5" t="s">
        <v>388</v>
      </c>
      <c r="B364" s="5" t="s">
        <v>25</v>
      </c>
      <c r="C364" s="6" t="n">
        <v>45513</v>
      </c>
      <c r="D364" s="5" t="s">
        <v>26</v>
      </c>
      <c r="E364" s="7" t="n">
        <v>432919</v>
      </c>
      <c r="F364" s="7" t="n">
        <v>263375</v>
      </c>
      <c r="G364" s="7" t="n">
        <v>29207</v>
      </c>
      <c r="H364" s="7" t="n">
        <v>5184</v>
      </c>
      <c r="I364" s="7" t="n">
        <v>12263</v>
      </c>
      <c r="J364" s="8" t="n">
        <v>17.71</v>
      </c>
      <c r="K364" s="9" t="n">
        <f aca="false">(G364+H364+I364)/E364</f>
        <v>0.107766117911203</v>
      </c>
    </row>
    <row r="365" customFormat="false" ht="14.25" hidden="false" customHeight="true" outlineLevel="0" collapsed="false">
      <c r="A365" s="5" t="s">
        <v>389</v>
      </c>
      <c r="B365" s="5" t="s">
        <v>14</v>
      </c>
      <c r="C365" s="6" t="n">
        <v>45986</v>
      </c>
      <c r="D365" s="5" t="s">
        <v>19</v>
      </c>
      <c r="E365" s="7" t="n">
        <v>18210</v>
      </c>
      <c r="F365" s="7" t="n">
        <v>9939</v>
      </c>
      <c r="G365" s="7" t="n">
        <v>359</v>
      </c>
      <c r="H365" s="7" t="n">
        <v>152</v>
      </c>
      <c r="I365" s="7" t="n">
        <v>64</v>
      </c>
      <c r="J365" s="8" t="n">
        <v>5.79</v>
      </c>
      <c r="K365" s="9" t="n">
        <f aca="false">(G365+H365+I365)/E365</f>
        <v>0.0315760571114772</v>
      </c>
    </row>
    <row r="366" customFormat="false" ht="14.25" hidden="false" customHeight="true" outlineLevel="0" collapsed="false">
      <c r="A366" s="5" t="s">
        <v>390</v>
      </c>
      <c r="B366" s="5" t="s">
        <v>14</v>
      </c>
      <c r="C366" s="6" t="n">
        <v>45850</v>
      </c>
      <c r="D366" s="5" t="s">
        <v>19</v>
      </c>
      <c r="E366" s="7" t="n">
        <v>2650</v>
      </c>
      <c r="F366" s="7" t="n">
        <v>1102</v>
      </c>
      <c r="G366" s="7" t="n">
        <v>40</v>
      </c>
      <c r="H366" s="7" t="n">
        <v>11</v>
      </c>
      <c r="I366" s="7" t="n">
        <v>24</v>
      </c>
      <c r="J366" s="8" t="n">
        <v>6.81</v>
      </c>
      <c r="K366" s="9" t="n">
        <f aca="false">(G366+H366+I366)/E366</f>
        <v>0.0283018867924528</v>
      </c>
    </row>
    <row r="367" customFormat="false" ht="14.25" hidden="false" customHeight="true" outlineLevel="0" collapsed="false">
      <c r="A367" s="5" t="s">
        <v>391</v>
      </c>
      <c r="B367" s="5" t="s">
        <v>25</v>
      </c>
      <c r="C367" s="6" t="n">
        <v>45754</v>
      </c>
      <c r="D367" s="5" t="s">
        <v>26</v>
      </c>
      <c r="E367" s="7" t="n">
        <v>89043</v>
      </c>
      <c r="F367" s="7" t="n">
        <v>57240</v>
      </c>
      <c r="G367" s="7" t="n">
        <v>2889</v>
      </c>
      <c r="H367" s="7" t="n">
        <v>744</v>
      </c>
      <c r="I367" s="7" t="n">
        <v>966</v>
      </c>
      <c r="J367" s="8" t="n">
        <v>8.03</v>
      </c>
      <c r="K367" s="9" t="n">
        <f aca="false">(G367+H367+I367)/E367</f>
        <v>0.0516492031939625</v>
      </c>
    </row>
    <row r="368" customFormat="false" ht="14.25" hidden="false" customHeight="true" outlineLevel="0" collapsed="false">
      <c r="A368" s="5" t="s">
        <v>392</v>
      </c>
      <c r="B368" s="5" t="s">
        <v>14</v>
      </c>
      <c r="C368" s="6" t="n">
        <v>45792</v>
      </c>
      <c r="D368" s="5" t="s">
        <v>23</v>
      </c>
      <c r="E368" s="7" t="n">
        <v>32036</v>
      </c>
      <c r="F368" s="7" t="n">
        <v>18733</v>
      </c>
      <c r="G368" s="7" t="n">
        <v>743</v>
      </c>
      <c r="H368" s="7" t="n">
        <v>277</v>
      </c>
      <c r="I368" s="7" t="n">
        <v>110</v>
      </c>
      <c r="J368" s="8" t="n">
        <v>6.03</v>
      </c>
      <c r="K368" s="9" t="n">
        <f aca="false">(G368+H368+I368)/E368</f>
        <v>0.0352728180796604</v>
      </c>
    </row>
    <row r="369" customFormat="false" ht="14.25" hidden="false" customHeight="true" outlineLevel="0" collapsed="false">
      <c r="A369" s="5" t="s">
        <v>393</v>
      </c>
      <c r="B369" s="5" t="s">
        <v>25</v>
      </c>
      <c r="C369" s="6" t="n">
        <v>45770</v>
      </c>
      <c r="D369" s="5" t="s">
        <v>26</v>
      </c>
      <c r="E369" s="7" t="n">
        <v>162673</v>
      </c>
      <c r="F369" s="7" t="n">
        <v>75395</v>
      </c>
      <c r="G369" s="7" t="n">
        <v>7190</v>
      </c>
      <c r="H369" s="7" t="n">
        <v>1831</v>
      </c>
      <c r="I369" s="7" t="n">
        <v>2015</v>
      </c>
      <c r="J369" s="8" t="n">
        <v>14.64</v>
      </c>
      <c r="K369" s="9" t="n">
        <f aca="false">(G369+H369+I369)/E369</f>
        <v>0.067841620920497</v>
      </c>
    </row>
    <row r="370" customFormat="false" ht="14.25" hidden="false" customHeight="true" outlineLevel="0" collapsed="false">
      <c r="A370" s="5" t="s">
        <v>394</v>
      </c>
      <c r="B370" s="5" t="s">
        <v>18</v>
      </c>
      <c r="C370" s="6" t="n">
        <v>45928</v>
      </c>
      <c r="D370" s="5" t="s">
        <v>23</v>
      </c>
      <c r="E370" s="7" t="n">
        <v>31659</v>
      </c>
      <c r="F370" s="7" t="n">
        <v>15454</v>
      </c>
      <c r="G370" s="7" t="n">
        <v>520</v>
      </c>
      <c r="H370" s="7" t="n">
        <v>103</v>
      </c>
      <c r="I370" s="7" t="n">
        <v>117</v>
      </c>
      <c r="J370" s="8" t="n">
        <v>4.79</v>
      </c>
      <c r="K370" s="9" t="n">
        <f aca="false">(G370+H370+I370)/E370</f>
        <v>0.0233740800404308</v>
      </c>
    </row>
    <row r="371" customFormat="false" ht="14.25" hidden="false" customHeight="true" outlineLevel="0" collapsed="false">
      <c r="A371" s="5" t="s">
        <v>395</v>
      </c>
      <c r="B371" s="5" t="s">
        <v>25</v>
      </c>
      <c r="C371" s="6" t="n">
        <v>45817</v>
      </c>
      <c r="D371" s="5" t="s">
        <v>23</v>
      </c>
      <c r="E371" s="7" t="n">
        <v>280772</v>
      </c>
      <c r="F371" s="7" t="n">
        <v>95901</v>
      </c>
      <c r="G371" s="7" t="n">
        <v>8535</v>
      </c>
      <c r="H371" s="7" t="n">
        <v>2589</v>
      </c>
      <c r="I371" s="7" t="n">
        <v>1470</v>
      </c>
      <c r="J371" s="8" t="n">
        <v>13.13</v>
      </c>
      <c r="K371" s="9" t="n">
        <f aca="false">(G371+H371+I371)/E371</f>
        <v>0.0448549000612597</v>
      </c>
    </row>
    <row r="372" customFormat="false" ht="14.25" hidden="false" customHeight="true" outlineLevel="0" collapsed="false">
      <c r="A372" s="5" t="s">
        <v>396</v>
      </c>
      <c r="B372" s="5" t="s">
        <v>25</v>
      </c>
      <c r="C372" s="6" t="n">
        <v>45861</v>
      </c>
      <c r="D372" s="5" t="s">
        <v>23</v>
      </c>
      <c r="E372" s="7" t="n">
        <v>28931</v>
      </c>
      <c r="F372" s="7" t="n">
        <v>14251</v>
      </c>
      <c r="G372" s="7" t="n">
        <v>1634</v>
      </c>
      <c r="H372" s="7" t="n">
        <v>204</v>
      </c>
      <c r="I372" s="7" t="n">
        <v>597</v>
      </c>
      <c r="J372" s="8" t="n">
        <v>17.09</v>
      </c>
      <c r="K372" s="9" t="n">
        <f aca="false">(G372+H372+I372)/E372</f>
        <v>0.0841657737375134</v>
      </c>
    </row>
    <row r="373" customFormat="false" ht="14.25" hidden="false" customHeight="true" outlineLevel="0" collapsed="false">
      <c r="A373" s="5" t="s">
        <v>397</v>
      </c>
      <c r="B373" s="5" t="s">
        <v>25</v>
      </c>
      <c r="C373" s="6" t="n">
        <v>45479</v>
      </c>
      <c r="D373" s="5" t="s">
        <v>23</v>
      </c>
      <c r="E373" s="7" t="n">
        <v>48646</v>
      </c>
      <c r="F373" s="7" t="n">
        <v>15711</v>
      </c>
      <c r="G373" s="7" t="n">
        <v>1465</v>
      </c>
      <c r="H373" s="7" t="n">
        <v>141</v>
      </c>
      <c r="I373" s="7" t="n">
        <v>499</v>
      </c>
      <c r="J373" s="8" t="n">
        <v>13.4</v>
      </c>
      <c r="K373" s="9" t="n">
        <f aca="false">(G373+H373+I373)/E373</f>
        <v>0.0432718003535748</v>
      </c>
    </row>
    <row r="374" customFormat="false" ht="14.25" hidden="false" customHeight="true" outlineLevel="0" collapsed="false">
      <c r="A374" s="5" t="s">
        <v>398</v>
      </c>
      <c r="B374" s="5" t="s">
        <v>25</v>
      </c>
      <c r="C374" s="6" t="n">
        <v>45931</v>
      </c>
      <c r="D374" s="5" t="s">
        <v>26</v>
      </c>
      <c r="E374" s="7" t="n">
        <v>185450</v>
      </c>
      <c r="F374" s="7" t="n">
        <v>104771</v>
      </c>
      <c r="G374" s="7" t="n">
        <v>11675</v>
      </c>
      <c r="H374" s="7" t="n">
        <v>1750</v>
      </c>
      <c r="I374" s="7" t="n">
        <v>5190</v>
      </c>
      <c r="J374" s="8" t="n">
        <v>17.77</v>
      </c>
      <c r="K374" s="9" t="n">
        <f aca="false">(G374+H374+I374)/E374</f>
        <v>0.100377460231868</v>
      </c>
    </row>
    <row r="375" customFormat="false" ht="14.25" hidden="false" customHeight="true" outlineLevel="0" collapsed="false">
      <c r="A375" s="5" t="s">
        <v>399</v>
      </c>
      <c r="B375" s="5" t="s">
        <v>18</v>
      </c>
      <c r="C375" s="6" t="n">
        <v>45962</v>
      </c>
      <c r="D375" s="5" t="s">
        <v>19</v>
      </c>
      <c r="E375" s="7" t="n">
        <v>4906</v>
      </c>
      <c r="F375" s="7" t="n">
        <v>2588</v>
      </c>
      <c r="G375" s="7" t="n">
        <v>151</v>
      </c>
      <c r="H375" s="7" t="n">
        <v>33</v>
      </c>
      <c r="I375" s="7" t="n">
        <v>17</v>
      </c>
      <c r="J375" s="8" t="n">
        <v>7.77</v>
      </c>
      <c r="K375" s="9" t="n">
        <f aca="false">(G375+H375+I375)/E375</f>
        <v>0.04097024052181</v>
      </c>
    </row>
    <row r="376" customFormat="false" ht="14.25" hidden="false" customHeight="true" outlineLevel="0" collapsed="false">
      <c r="A376" s="5" t="s">
        <v>400</v>
      </c>
      <c r="B376" s="5" t="s">
        <v>14</v>
      </c>
      <c r="C376" s="6" t="n">
        <v>45356</v>
      </c>
      <c r="D376" s="5" t="s">
        <v>23</v>
      </c>
      <c r="E376" s="7" t="n">
        <v>85302</v>
      </c>
      <c r="F376" s="7" t="n">
        <v>32381</v>
      </c>
      <c r="G376" s="7" t="n">
        <v>1051</v>
      </c>
      <c r="H376" s="7" t="n">
        <v>160</v>
      </c>
      <c r="I376" s="7" t="n">
        <v>503</v>
      </c>
      <c r="J376" s="8" t="n">
        <v>5.29</v>
      </c>
      <c r="K376" s="9" t="n">
        <f aca="false">(G376+H376+I376)/E376</f>
        <v>0.0200933155142904</v>
      </c>
    </row>
    <row r="377" customFormat="false" ht="14.25" hidden="false" customHeight="true" outlineLevel="0" collapsed="false">
      <c r="A377" s="5" t="s">
        <v>401</v>
      </c>
      <c r="B377" s="5" t="s">
        <v>14</v>
      </c>
      <c r="C377" s="6" t="n">
        <v>45743</v>
      </c>
      <c r="D377" s="5" t="s">
        <v>23</v>
      </c>
      <c r="E377" s="7" t="n">
        <v>36362</v>
      </c>
      <c r="F377" s="7" t="n">
        <v>22850</v>
      </c>
      <c r="G377" s="7" t="n">
        <v>994</v>
      </c>
      <c r="H377" s="7" t="n">
        <v>361</v>
      </c>
      <c r="I377" s="7" t="n">
        <v>578</v>
      </c>
      <c r="J377" s="8" t="n">
        <v>8.46</v>
      </c>
      <c r="K377" s="9" t="n">
        <f aca="false">(G377+H377+I377)/E377</f>
        <v>0.0531598921951488</v>
      </c>
    </row>
    <row r="378" customFormat="false" ht="14.25" hidden="false" customHeight="true" outlineLevel="0" collapsed="false">
      <c r="A378" s="5" t="s">
        <v>402</v>
      </c>
      <c r="B378" s="5" t="s">
        <v>22</v>
      </c>
      <c r="C378" s="6" t="n">
        <v>45537</v>
      </c>
      <c r="D378" s="5" t="s">
        <v>19</v>
      </c>
      <c r="E378" s="7" t="n">
        <v>19564</v>
      </c>
      <c r="F378" s="7" t="n">
        <v>14673</v>
      </c>
      <c r="G378" s="7" t="n">
        <v>312</v>
      </c>
      <c r="H378" s="7" t="n">
        <v>19</v>
      </c>
      <c r="I378" s="7" t="n">
        <v>39</v>
      </c>
      <c r="J378" s="8" t="n">
        <v>2.52</v>
      </c>
      <c r="K378" s="9" t="n">
        <f aca="false">(G378+H378+I378)/E378</f>
        <v>0.01891228787569</v>
      </c>
    </row>
    <row r="379" customFormat="false" ht="14.25" hidden="false" customHeight="true" outlineLevel="0" collapsed="false">
      <c r="A379" s="5" t="s">
        <v>403</v>
      </c>
      <c r="B379" s="5" t="s">
        <v>25</v>
      </c>
      <c r="C379" s="6" t="n">
        <v>45681</v>
      </c>
      <c r="D379" s="5" t="s">
        <v>26</v>
      </c>
      <c r="E379" s="7" t="n">
        <v>142015</v>
      </c>
      <c r="F379" s="7" t="n">
        <v>97331</v>
      </c>
      <c r="G379" s="7" t="n">
        <v>11113</v>
      </c>
      <c r="H379" s="7" t="n">
        <v>2751</v>
      </c>
      <c r="I379" s="7" t="n">
        <v>3416</v>
      </c>
      <c r="J379" s="8" t="n">
        <v>17.75</v>
      </c>
      <c r="K379" s="9" t="n">
        <f aca="false">(G379+H379+I379)/E379</f>
        <v>0.121677287610464</v>
      </c>
    </row>
    <row r="380" customFormat="false" ht="14.25" hidden="false" customHeight="true" outlineLevel="0" collapsed="false">
      <c r="A380" s="5" t="s">
        <v>404</v>
      </c>
      <c r="B380" s="5" t="s">
        <v>25</v>
      </c>
      <c r="C380" s="6" t="n">
        <v>45320</v>
      </c>
      <c r="D380" s="5" t="s">
        <v>23</v>
      </c>
      <c r="E380" s="7" t="n">
        <v>396464</v>
      </c>
      <c r="F380" s="7" t="n">
        <v>212977</v>
      </c>
      <c r="G380" s="7" t="n">
        <v>20430</v>
      </c>
      <c r="H380" s="7" t="n">
        <v>2808</v>
      </c>
      <c r="I380" s="7" t="n">
        <v>4420</v>
      </c>
      <c r="J380" s="8" t="n">
        <v>12.99</v>
      </c>
      <c r="K380" s="9" t="n">
        <f aca="false">(G380+H380+I380)/E380</f>
        <v>0.0697616933693854</v>
      </c>
    </row>
    <row r="381" customFormat="false" ht="14.25" hidden="false" customHeight="true" outlineLevel="0" collapsed="false">
      <c r="A381" s="5" t="s">
        <v>405</v>
      </c>
      <c r="B381" s="5" t="s">
        <v>18</v>
      </c>
      <c r="C381" s="6" t="n">
        <v>45320</v>
      </c>
      <c r="D381" s="5" t="s">
        <v>23</v>
      </c>
      <c r="E381" s="7" t="n">
        <v>65239</v>
      </c>
      <c r="F381" s="7" t="n">
        <v>26279</v>
      </c>
      <c r="G381" s="7" t="n">
        <v>1270</v>
      </c>
      <c r="H381" s="7" t="n">
        <v>138</v>
      </c>
      <c r="I381" s="7" t="n">
        <v>249</v>
      </c>
      <c r="J381" s="8" t="n">
        <v>6.31</v>
      </c>
      <c r="K381" s="9" t="n">
        <f aca="false">(G381+H381+I381)/E381</f>
        <v>0.0253989178252272</v>
      </c>
    </row>
    <row r="382" customFormat="false" ht="14.25" hidden="false" customHeight="true" outlineLevel="0" collapsed="false">
      <c r="A382" s="5" t="s">
        <v>406</v>
      </c>
      <c r="B382" s="5" t="s">
        <v>25</v>
      </c>
      <c r="C382" s="6" t="n">
        <v>45642</v>
      </c>
      <c r="D382" s="5" t="s">
        <v>23</v>
      </c>
      <c r="E382" s="7" t="n">
        <v>481371</v>
      </c>
      <c r="F382" s="7" t="n">
        <v>293652</v>
      </c>
      <c r="G382" s="7" t="n">
        <v>12277</v>
      </c>
      <c r="H382" s="7" t="n">
        <v>2977</v>
      </c>
      <c r="I382" s="7" t="n">
        <v>13325</v>
      </c>
      <c r="J382" s="8" t="n">
        <v>9.73</v>
      </c>
      <c r="K382" s="9" t="n">
        <f aca="false">(G382+H382+I382)/E382</f>
        <v>0.0593700077487011</v>
      </c>
    </row>
    <row r="383" customFormat="false" ht="14.25" hidden="false" customHeight="true" outlineLevel="0" collapsed="false">
      <c r="A383" s="5" t="s">
        <v>407</v>
      </c>
      <c r="B383" s="5" t="s">
        <v>33</v>
      </c>
      <c r="C383" s="6" t="n">
        <v>45684</v>
      </c>
      <c r="D383" s="5" t="s">
        <v>23</v>
      </c>
      <c r="E383" s="7" t="n">
        <v>33792</v>
      </c>
      <c r="F383" s="7" t="n">
        <v>18124</v>
      </c>
      <c r="G383" s="7" t="n">
        <v>615</v>
      </c>
      <c r="H383" s="7" t="n">
        <v>436</v>
      </c>
      <c r="I383" s="7" t="n">
        <v>149</v>
      </c>
      <c r="J383" s="8" t="n">
        <v>6.62</v>
      </c>
      <c r="K383" s="9" t="n">
        <f aca="false">(G383+H383+I383)/E383</f>
        <v>0.0355113636363636</v>
      </c>
    </row>
    <row r="384" customFormat="false" ht="14.25" hidden="false" customHeight="true" outlineLevel="0" collapsed="false">
      <c r="A384" s="5" t="s">
        <v>408</v>
      </c>
      <c r="B384" s="5" t="s">
        <v>25</v>
      </c>
      <c r="C384" s="6" t="n">
        <v>45478</v>
      </c>
      <c r="D384" s="5" t="s">
        <v>26</v>
      </c>
      <c r="E384" s="7" t="n">
        <v>273471</v>
      </c>
      <c r="F384" s="7" t="n">
        <v>103519</v>
      </c>
      <c r="G384" s="7" t="n">
        <v>3885</v>
      </c>
      <c r="H384" s="7" t="n">
        <v>2204</v>
      </c>
      <c r="I384" s="7" t="n">
        <v>4347</v>
      </c>
      <c r="J384" s="8" t="n">
        <v>10.08</v>
      </c>
      <c r="K384" s="9" t="n">
        <f aca="false">(G384+H384+I384)/E384</f>
        <v>0.0381612675567062</v>
      </c>
    </row>
    <row r="385" customFormat="false" ht="14.25" hidden="false" customHeight="true" outlineLevel="0" collapsed="false">
      <c r="A385" s="5" t="s">
        <v>409</v>
      </c>
      <c r="B385" s="5" t="s">
        <v>18</v>
      </c>
      <c r="C385" s="6" t="n">
        <v>46011</v>
      </c>
      <c r="D385" s="5" t="s">
        <v>19</v>
      </c>
      <c r="E385" s="7" t="n">
        <v>18169</v>
      </c>
      <c r="F385" s="7" t="n">
        <v>12346</v>
      </c>
      <c r="G385" s="7" t="n">
        <v>599</v>
      </c>
      <c r="H385" s="7" t="n">
        <v>154</v>
      </c>
      <c r="I385" s="7" t="n">
        <v>120</v>
      </c>
      <c r="J385" s="8" t="n">
        <v>7.07</v>
      </c>
      <c r="K385" s="9" t="n">
        <f aca="false">(G385+H385+I385)/E385</f>
        <v>0.0480488744564918</v>
      </c>
    </row>
    <row r="386" customFormat="false" ht="14.25" hidden="false" customHeight="true" outlineLevel="0" collapsed="false">
      <c r="A386" s="5" t="s">
        <v>410</v>
      </c>
      <c r="B386" s="5" t="s">
        <v>25</v>
      </c>
      <c r="C386" s="6" t="n">
        <v>45771</v>
      </c>
      <c r="D386" s="5" t="s">
        <v>26</v>
      </c>
      <c r="E386" s="7" t="n">
        <v>219497</v>
      </c>
      <c r="F386" s="7" t="n">
        <v>107091</v>
      </c>
      <c r="G386" s="7" t="n">
        <v>4415</v>
      </c>
      <c r="H386" s="7" t="n">
        <v>1194</v>
      </c>
      <c r="I386" s="7" t="n">
        <v>1427</v>
      </c>
      <c r="J386" s="8" t="n">
        <v>6.57</v>
      </c>
      <c r="K386" s="9" t="n">
        <f aca="false">(G386+H386+I386)/E386</f>
        <v>0.0320551078146854</v>
      </c>
    </row>
    <row r="387" customFormat="false" ht="14.25" hidden="false" customHeight="true" outlineLevel="0" collapsed="false">
      <c r="A387" s="5" t="s">
        <v>411</v>
      </c>
      <c r="B387" s="5" t="s">
        <v>33</v>
      </c>
      <c r="C387" s="6" t="n">
        <v>45815</v>
      </c>
      <c r="D387" s="5" t="s">
        <v>19</v>
      </c>
      <c r="E387" s="7" t="n">
        <v>9396</v>
      </c>
      <c r="F387" s="7" t="n">
        <v>6993</v>
      </c>
      <c r="G387" s="7" t="n">
        <v>331</v>
      </c>
      <c r="H387" s="7" t="n">
        <v>161</v>
      </c>
      <c r="I387" s="7" t="n">
        <v>55</v>
      </c>
      <c r="J387" s="8" t="n">
        <v>7.82</v>
      </c>
      <c r="K387" s="9" t="n">
        <f aca="false">(G387+H387+I387)/E387</f>
        <v>0.0582162622392507</v>
      </c>
    </row>
    <row r="388" customFormat="false" ht="14.25" hidden="false" customHeight="true" outlineLevel="0" collapsed="false">
      <c r="A388" s="5" t="s">
        <v>412</v>
      </c>
      <c r="B388" s="5" t="s">
        <v>18</v>
      </c>
      <c r="C388" s="6" t="n">
        <v>45942</v>
      </c>
      <c r="D388" s="5" t="s">
        <v>19</v>
      </c>
      <c r="E388" s="7" t="n">
        <v>49233</v>
      </c>
      <c r="F388" s="7" t="n">
        <v>30264</v>
      </c>
      <c r="G388" s="7" t="n">
        <v>2221</v>
      </c>
      <c r="H388" s="7" t="n">
        <v>448</v>
      </c>
      <c r="I388" s="7" t="n">
        <v>279</v>
      </c>
      <c r="J388" s="8" t="n">
        <v>9.74</v>
      </c>
      <c r="K388" s="9" t="n">
        <f aca="false">(G388+H388+I388)/E388</f>
        <v>0.0598785367538033</v>
      </c>
    </row>
    <row r="389" customFormat="false" ht="14.25" hidden="false" customHeight="true" outlineLevel="0" collapsed="false">
      <c r="A389" s="5" t="s">
        <v>413</v>
      </c>
      <c r="B389" s="5" t="s">
        <v>14</v>
      </c>
      <c r="C389" s="6" t="n">
        <v>45985</v>
      </c>
      <c r="D389" s="5" t="s">
        <v>15</v>
      </c>
      <c r="E389" s="7" t="n">
        <v>12764</v>
      </c>
      <c r="F389" s="7" t="n">
        <v>6001</v>
      </c>
      <c r="G389" s="7" t="n">
        <v>157</v>
      </c>
      <c r="H389" s="7" t="n">
        <v>55</v>
      </c>
      <c r="I389" s="7" t="n">
        <v>76</v>
      </c>
      <c r="J389" s="8" t="n">
        <v>4.8</v>
      </c>
      <c r="K389" s="9" t="n">
        <f aca="false">(G389+H389+I389)/E389</f>
        <v>0.022563459730492</v>
      </c>
    </row>
    <row r="390" customFormat="false" ht="14.25" hidden="false" customHeight="true" outlineLevel="0" collapsed="false">
      <c r="A390" s="5" t="s">
        <v>414</v>
      </c>
      <c r="B390" s="5" t="s">
        <v>18</v>
      </c>
      <c r="C390" s="6" t="n">
        <v>45816</v>
      </c>
      <c r="D390" s="5" t="s">
        <v>28</v>
      </c>
      <c r="E390" s="7" t="n">
        <v>64438</v>
      </c>
      <c r="F390" s="7" t="n">
        <v>48960</v>
      </c>
      <c r="G390" s="7" t="n">
        <v>2962</v>
      </c>
      <c r="H390" s="7" t="n">
        <v>531</v>
      </c>
      <c r="I390" s="7" t="n">
        <v>213</v>
      </c>
      <c r="J390" s="8" t="n">
        <v>7.57</v>
      </c>
      <c r="K390" s="9" t="n">
        <f aca="false">(G390+H390+I390)/E390</f>
        <v>0.0575126478165058</v>
      </c>
    </row>
    <row r="391" customFormat="false" ht="14.25" hidden="false" customHeight="true" outlineLevel="0" collapsed="false">
      <c r="A391" s="5" t="s">
        <v>415</v>
      </c>
      <c r="B391" s="5" t="s">
        <v>22</v>
      </c>
      <c r="C391" s="6" t="n">
        <v>45704</v>
      </c>
      <c r="D391" s="5" t="s">
        <v>23</v>
      </c>
      <c r="E391" s="7" t="n">
        <v>18371</v>
      </c>
      <c r="F391" s="7" t="n">
        <v>16355</v>
      </c>
      <c r="G391" s="7" t="n">
        <v>376</v>
      </c>
      <c r="H391" s="7" t="n">
        <v>28</v>
      </c>
      <c r="I391" s="7" t="n">
        <v>65</v>
      </c>
      <c r="J391" s="8" t="n">
        <v>2.87</v>
      </c>
      <c r="K391" s="9" t="n">
        <f aca="false">(G391+H391+I391)/E391</f>
        <v>0.0255293669370203</v>
      </c>
    </row>
    <row r="392" customFormat="false" ht="14.25" hidden="false" customHeight="true" outlineLevel="0" collapsed="false">
      <c r="A392" s="5" t="s">
        <v>416</v>
      </c>
      <c r="B392" s="5" t="s">
        <v>18</v>
      </c>
      <c r="C392" s="6" t="n">
        <v>45990</v>
      </c>
      <c r="D392" s="5" t="s">
        <v>26</v>
      </c>
      <c r="E392" s="7" t="n">
        <v>32912</v>
      </c>
      <c r="F392" s="7" t="n">
        <v>20778</v>
      </c>
      <c r="G392" s="7" t="n">
        <v>1433</v>
      </c>
      <c r="H392" s="7" t="n">
        <v>190</v>
      </c>
      <c r="I392" s="7" t="n">
        <v>55</v>
      </c>
      <c r="J392" s="8" t="n">
        <v>8.08</v>
      </c>
      <c r="K392" s="9" t="n">
        <f aca="false">(G392+H392+I392)/E392</f>
        <v>0.0509844433641225</v>
      </c>
    </row>
    <row r="393" customFormat="false" ht="14.25" hidden="false" customHeight="true" outlineLevel="0" collapsed="false">
      <c r="A393" s="5" t="s">
        <v>417</v>
      </c>
      <c r="B393" s="5" t="s">
        <v>14</v>
      </c>
      <c r="C393" s="6" t="n">
        <v>45530</v>
      </c>
      <c r="D393" s="5" t="s">
        <v>19</v>
      </c>
      <c r="E393" s="7" t="n">
        <v>3002</v>
      </c>
      <c r="F393" s="7" t="n">
        <v>1192</v>
      </c>
      <c r="G393" s="7" t="n">
        <v>20</v>
      </c>
      <c r="H393" s="7" t="n">
        <v>22</v>
      </c>
      <c r="I393" s="7" t="n">
        <v>31</v>
      </c>
      <c r="J393" s="8" t="n">
        <v>6.12</v>
      </c>
      <c r="K393" s="9" t="n">
        <f aca="false">(G393+H393+I393)/E393</f>
        <v>0.0243171219187209</v>
      </c>
    </row>
    <row r="394" customFormat="false" ht="14.25" hidden="false" customHeight="true" outlineLevel="0" collapsed="false">
      <c r="A394" s="5" t="s">
        <v>418</v>
      </c>
      <c r="B394" s="5" t="s">
        <v>18</v>
      </c>
      <c r="C394" s="6" t="n">
        <v>45473</v>
      </c>
      <c r="D394" s="5" t="s">
        <v>28</v>
      </c>
      <c r="E394" s="7" t="n">
        <v>32223</v>
      </c>
      <c r="F394" s="7" t="n">
        <v>20809</v>
      </c>
      <c r="G394" s="7" t="n">
        <v>652</v>
      </c>
      <c r="H394" s="7" t="n">
        <v>263</v>
      </c>
      <c r="I394" s="7" t="n">
        <v>160</v>
      </c>
      <c r="J394" s="8" t="n">
        <v>5.17</v>
      </c>
      <c r="K394" s="9" t="n">
        <f aca="false">(G394+H394+I394)/E394</f>
        <v>0.033361263693635</v>
      </c>
    </row>
    <row r="395" customFormat="false" ht="14.25" hidden="false" customHeight="true" outlineLevel="0" collapsed="false">
      <c r="A395" s="5" t="s">
        <v>419</v>
      </c>
      <c r="B395" s="5" t="s">
        <v>18</v>
      </c>
      <c r="C395" s="6" t="n">
        <v>45825</v>
      </c>
      <c r="D395" s="5" t="s">
        <v>28</v>
      </c>
      <c r="E395" s="7" t="n">
        <v>69821</v>
      </c>
      <c r="F395" s="7" t="n">
        <v>36732</v>
      </c>
      <c r="G395" s="7" t="n">
        <v>882</v>
      </c>
      <c r="H395" s="7" t="n">
        <v>250</v>
      </c>
      <c r="I395" s="7" t="n">
        <v>84</v>
      </c>
      <c r="J395" s="8" t="n">
        <v>3.31</v>
      </c>
      <c r="K395" s="9" t="n">
        <f aca="false">(G395+H395+I395)/E395</f>
        <v>0.0174159636785494</v>
      </c>
    </row>
    <row r="396" customFormat="false" ht="14.25" hidden="false" customHeight="true" outlineLevel="0" collapsed="false">
      <c r="A396" s="5" t="s">
        <v>420</v>
      </c>
      <c r="B396" s="5" t="s">
        <v>22</v>
      </c>
      <c r="C396" s="6" t="n">
        <v>45441</v>
      </c>
      <c r="D396" s="5" t="s">
        <v>19</v>
      </c>
      <c r="E396" s="7" t="n">
        <v>12511</v>
      </c>
      <c r="F396" s="7" t="n">
        <v>6678</v>
      </c>
      <c r="G396" s="7" t="n">
        <v>169</v>
      </c>
      <c r="H396" s="7" t="n">
        <v>42</v>
      </c>
      <c r="I396" s="7" t="n">
        <v>126</v>
      </c>
      <c r="J396" s="8" t="n">
        <v>5.05</v>
      </c>
      <c r="K396" s="9" t="n">
        <f aca="false">(G396+H396+I396)/E396</f>
        <v>0.0269362960594677</v>
      </c>
    </row>
    <row r="397" customFormat="false" ht="14.25" hidden="false" customHeight="true" outlineLevel="0" collapsed="false">
      <c r="A397" s="5" t="s">
        <v>421</v>
      </c>
      <c r="B397" s="5" t="s">
        <v>33</v>
      </c>
      <c r="C397" s="6" t="n">
        <v>45302</v>
      </c>
      <c r="D397" s="5" t="s">
        <v>19</v>
      </c>
      <c r="E397" s="7" t="n">
        <v>8567</v>
      </c>
      <c r="F397" s="7" t="n">
        <v>5327</v>
      </c>
      <c r="G397" s="7" t="n">
        <v>156</v>
      </c>
      <c r="H397" s="7" t="n">
        <v>45</v>
      </c>
      <c r="I397" s="7" t="n">
        <v>19</v>
      </c>
      <c r="J397" s="8" t="n">
        <v>4.13</v>
      </c>
      <c r="K397" s="9" t="n">
        <f aca="false">(G397+H397+I397)/E397</f>
        <v>0.0256799346328937</v>
      </c>
    </row>
    <row r="398" customFormat="false" ht="14.25" hidden="false" customHeight="true" outlineLevel="0" collapsed="false">
      <c r="A398" s="5" t="s">
        <v>422</v>
      </c>
      <c r="B398" s="5" t="s">
        <v>14</v>
      </c>
      <c r="C398" s="6" t="n">
        <v>45695</v>
      </c>
      <c r="D398" s="5" t="s">
        <v>28</v>
      </c>
      <c r="E398" s="7" t="n">
        <v>31744</v>
      </c>
      <c r="F398" s="7" t="n">
        <v>14540</v>
      </c>
      <c r="G398" s="7" t="n">
        <v>478</v>
      </c>
      <c r="H398" s="7" t="n">
        <v>203</v>
      </c>
      <c r="I398" s="7" t="n">
        <v>290</v>
      </c>
      <c r="J398" s="8" t="n">
        <v>6.68</v>
      </c>
      <c r="K398" s="9" t="n">
        <f aca="false">(G398+H398+I398)/E398</f>
        <v>0.0305884576612903</v>
      </c>
    </row>
    <row r="399" customFormat="false" ht="14.25" hidden="false" customHeight="true" outlineLevel="0" collapsed="false">
      <c r="A399" s="5" t="s">
        <v>423</v>
      </c>
      <c r="B399" s="5" t="s">
        <v>33</v>
      </c>
      <c r="C399" s="6" t="n">
        <v>45702</v>
      </c>
      <c r="D399" s="5" t="s">
        <v>19</v>
      </c>
      <c r="E399" s="7" t="n">
        <v>7127</v>
      </c>
      <c r="F399" s="7" t="n">
        <v>5162</v>
      </c>
      <c r="G399" s="7" t="n">
        <v>164</v>
      </c>
      <c r="H399" s="7" t="n">
        <v>127</v>
      </c>
      <c r="I399" s="7" t="n">
        <v>66</v>
      </c>
      <c r="J399" s="8" t="n">
        <v>6.92</v>
      </c>
      <c r="K399" s="9" t="n">
        <f aca="false">(G399+H399+I399)/E399</f>
        <v>0.0500912024694823</v>
      </c>
    </row>
    <row r="400" customFormat="false" ht="14.25" hidden="false" customHeight="true" outlineLevel="0" collapsed="false">
      <c r="A400" s="5" t="s">
        <v>424</v>
      </c>
      <c r="B400" s="5" t="s">
        <v>33</v>
      </c>
      <c r="C400" s="6" t="n">
        <v>45779</v>
      </c>
      <c r="D400" s="5" t="s">
        <v>23</v>
      </c>
      <c r="E400" s="7" t="n">
        <v>21322</v>
      </c>
      <c r="F400" s="7" t="n">
        <v>15829</v>
      </c>
      <c r="G400" s="7" t="n">
        <v>310</v>
      </c>
      <c r="H400" s="7" t="n">
        <v>374</v>
      </c>
      <c r="I400" s="7" t="n">
        <v>89</v>
      </c>
      <c r="J400" s="8" t="n">
        <v>4.88</v>
      </c>
      <c r="K400" s="9" t="n">
        <f aca="false">(G400+H400+I400)/E400</f>
        <v>0.0362536347434575</v>
      </c>
    </row>
    <row r="401" customFormat="false" ht="14.25" hidden="false" customHeight="true" outlineLevel="0" collapsed="false">
      <c r="A401" s="5" t="s">
        <v>425</v>
      </c>
      <c r="B401" s="5" t="s">
        <v>22</v>
      </c>
      <c r="C401" s="6" t="n">
        <v>45361</v>
      </c>
      <c r="D401" s="5" t="s">
        <v>23</v>
      </c>
      <c r="E401" s="7" t="n">
        <v>2785</v>
      </c>
      <c r="F401" s="7" t="n">
        <v>2312</v>
      </c>
      <c r="G401" s="7" t="n">
        <v>68</v>
      </c>
      <c r="H401" s="7" t="n">
        <v>13</v>
      </c>
      <c r="I401" s="7" t="n">
        <v>16</v>
      </c>
      <c r="J401" s="8" t="n">
        <v>4.2</v>
      </c>
      <c r="K401" s="9" t="n">
        <f aca="false">(G401+H401+I401)/E401</f>
        <v>0.0348294434470377</v>
      </c>
    </row>
    <row r="402" customFormat="false" ht="14.25" hidden="false" customHeight="true" outlineLevel="0" collapsed="false">
      <c r="A402" s="5" t="s">
        <v>426</v>
      </c>
      <c r="B402" s="5" t="s">
        <v>22</v>
      </c>
      <c r="C402" s="6" t="n">
        <v>45826</v>
      </c>
      <c r="D402" s="5" t="s">
        <v>19</v>
      </c>
      <c r="E402" s="7" t="n">
        <v>6106</v>
      </c>
      <c r="F402" s="7" t="n">
        <v>3287</v>
      </c>
      <c r="G402" s="7" t="n">
        <v>57</v>
      </c>
      <c r="H402" s="7" t="n">
        <v>26</v>
      </c>
      <c r="I402" s="7" t="n">
        <v>41</v>
      </c>
      <c r="J402" s="8" t="n">
        <v>3.77</v>
      </c>
      <c r="K402" s="9" t="n">
        <f aca="false">(G402+H402+I402)/E402</f>
        <v>0.0203078938748772</v>
      </c>
    </row>
    <row r="403" customFormat="false" ht="14.25" hidden="false" customHeight="true" outlineLevel="0" collapsed="false">
      <c r="A403" s="5" t="s">
        <v>427</v>
      </c>
      <c r="B403" s="5" t="s">
        <v>25</v>
      </c>
      <c r="C403" s="6" t="n">
        <v>45525</v>
      </c>
      <c r="D403" s="5" t="s">
        <v>23</v>
      </c>
      <c r="E403" s="7" t="n">
        <v>184139</v>
      </c>
      <c r="F403" s="7" t="n">
        <v>107085</v>
      </c>
      <c r="G403" s="7" t="n">
        <v>9649</v>
      </c>
      <c r="H403" s="7" t="n">
        <v>1976</v>
      </c>
      <c r="I403" s="7" t="n">
        <v>1806</v>
      </c>
      <c r="J403" s="8" t="n">
        <v>12.54</v>
      </c>
      <c r="K403" s="9" t="n">
        <f aca="false">(G403+H403+I403)/E403</f>
        <v>0.0729394642091029</v>
      </c>
    </row>
    <row r="404" customFormat="false" ht="14.25" hidden="false" customHeight="true" outlineLevel="0" collapsed="false">
      <c r="A404" s="5" t="s">
        <v>428</v>
      </c>
      <c r="B404" s="5" t="s">
        <v>33</v>
      </c>
      <c r="C404" s="6" t="n">
        <v>45978</v>
      </c>
      <c r="D404" s="5" t="s">
        <v>28</v>
      </c>
      <c r="E404" s="7" t="n">
        <v>26764</v>
      </c>
      <c r="F404" s="7" t="n">
        <v>10706</v>
      </c>
      <c r="G404" s="7" t="n">
        <v>440</v>
      </c>
      <c r="H404" s="7" t="n">
        <v>206</v>
      </c>
      <c r="I404" s="7" t="n">
        <v>40</v>
      </c>
      <c r="J404" s="8" t="n">
        <v>6.41</v>
      </c>
      <c r="K404" s="9" t="n">
        <f aca="false">(G404+H404+I404)/E404</f>
        <v>0.025631445224929</v>
      </c>
    </row>
    <row r="405" customFormat="false" ht="14.25" hidden="false" customHeight="true" outlineLevel="0" collapsed="false">
      <c r="A405" s="5" t="s">
        <v>429</v>
      </c>
      <c r="B405" s="5" t="s">
        <v>22</v>
      </c>
      <c r="C405" s="6" t="n">
        <v>45587</v>
      </c>
      <c r="D405" s="5" t="s">
        <v>23</v>
      </c>
      <c r="E405" s="7" t="n">
        <v>49797</v>
      </c>
      <c r="F405" s="7" t="n">
        <v>31336</v>
      </c>
      <c r="G405" s="7" t="n">
        <v>561</v>
      </c>
      <c r="H405" s="7" t="n">
        <v>147</v>
      </c>
      <c r="I405" s="7" t="n">
        <v>573</v>
      </c>
      <c r="J405" s="8" t="n">
        <v>4.09</v>
      </c>
      <c r="K405" s="9" t="n">
        <f aca="false">(G405+H405+I405)/E405</f>
        <v>0.0257244412313995</v>
      </c>
    </row>
    <row r="406" customFormat="false" ht="14.25" hidden="false" customHeight="true" outlineLevel="0" collapsed="false">
      <c r="A406" s="5" t="s">
        <v>430</v>
      </c>
      <c r="B406" s="5" t="s">
        <v>18</v>
      </c>
      <c r="C406" s="6" t="n">
        <v>45839</v>
      </c>
      <c r="D406" s="5" t="s">
        <v>19</v>
      </c>
      <c r="E406" s="7" t="n">
        <v>35525</v>
      </c>
      <c r="F406" s="7" t="n">
        <v>25161</v>
      </c>
      <c r="G406" s="7" t="n">
        <v>893</v>
      </c>
      <c r="H406" s="7" t="n">
        <v>251</v>
      </c>
      <c r="I406" s="7" t="n">
        <v>47</v>
      </c>
      <c r="J406" s="8" t="n">
        <v>4.73</v>
      </c>
      <c r="K406" s="9" t="n">
        <f aca="false">(G406+H406+I406)/E406</f>
        <v>0.0335256861365236</v>
      </c>
    </row>
    <row r="407" customFormat="false" ht="14.25" hidden="false" customHeight="true" outlineLevel="0" collapsed="false">
      <c r="A407" s="5" t="s">
        <v>431</v>
      </c>
      <c r="B407" s="5" t="s">
        <v>18</v>
      </c>
      <c r="C407" s="6" t="n">
        <v>45865</v>
      </c>
      <c r="D407" s="5" t="s">
        <v>23</v>
      </c>
      <c r="E407" s="7" t="n">
        <v>19195</v>
      </c>
      <c r="F407" s="7" t="n">
        <v>15085</v>
      </c>
      <c r="G407" s="7" t="n">
        <v>1100</v>
      </c>
      <c r="H407" s="7" t="n">
        <v>42</v>
      </c>
      <c r="I407" s="7" t="n">
        <v>87</v>
      </c>
      <c r="J407" s="8" t="n">
        <v>8.15</v>
      </c>
      <c r="K407" s="9" t="n">
        <f aca="false">(G407+H407+I407)/E407</f>
        <v>0.0640270903881219</v>
      </c>
    </row>
    <row r="408" customFormat="false" ht="14.25" hidden="false" customHeight="true" outlineLevel="0" collapsed="false">
      <c r="A408" s="5" t="s">
        <v>432</v>
      </c>
      <c r="B408" s="5" t="s">
        <v>25</v>
      </c>
      <c r="C408" s="6" t="n">
        <v>45401</v>
      </c>
      <c r="D408" s="5" t="s">
        <v>26</v>
      </c>
      <c r="E408" s="7" t="n">
        <v>46574</v>
      </c>
      <c r="F408" s="7" t="n">
        <v>18250</v>
      </c>
      <c r="G408" s="7" t="n">
        <v>616</v>
      </c>
      <c r="H408" s="7" t="n">
        <v>489</v>
      </c>
      <c r="I408" s="7" t="n">
        <v>822</v>
      </c>
      <c r="J408" s="8" t="n">
        <v>10.56</v>
      </c>
      <c r="K408" s="9" t="n">
        <f aca="false">(G408+H408+I408)/E408</f>
        <v>0.0413750161034053</v>
      </c>
    </row>
    <row r="409" customFormat="false" ht="14.25" hidden="false" customHeight="true" outlineLevel="0" collapsed="false">
      <c r="A409" s="5" t="s">
        <v>433</v>
      </c>
      <c r="B409" s="5" t="s">
        <v>22</v>
      </c>
      <c r="C409" s="6" t="n">
        <v>45540</v>
      </c>
      <c r="D409" s="5" t="s">
        <v>23</v>
      </c>
      <c r="E409" s="7" t="n">
        <v>11288</v>
      </c>
      <c r="F409" s="7" t="n">
        <v>9803</v>
      </c>
      <c r="G409" s="7" t="n">
        <v>183</v>
      </c>
      <c r="H409" s="7" t="n">
        <v>71</v>
      </c>
      <c r="I409" s="7" t="n">
        <v>172</v>
      </c>
      <c r="J409" s="8" t="n">
        <v>4.35</v>
      </c>
      <c r="K409" s="9" t="n">
        <f aca="false">(G409+H409+I409)/E409</f>
        <v>0.0377391920623671</v>
      </c>
    </row>
    <row r="410" customFormat="false" ht="14.25" hidden="false" customHeight="true" outlineLevel="0" collapsed="false">
      <c r="A410" s="5" t="s">
        <v>434</v>
      </c>
      <c r="B410" s="5" t="s">
        <v>18</v>
      </c>
      <c r="C410" s="6" t="n">
        <v>45977</v>
      </c>
      <c r="D410" s="5" t="s">
        <v>28</v>
      </c>
      <c r="E410" s="7" t="n">
        <v>28606</v>
      </c>
      <c r="F410" s="7" t="n">
        <v>20603</v>
      </c>
      <c r="G410" s="7" t="n">
        <v>1524</v>
      </c>
      <c r="H410" s="7" t="n">
        <v>200</v>
      </c>
      <c r="I410" s="7" t="n">
        <v>124</v>
      </c>
      <c r="J410" s="8" t="n">
        <v>8.97</v>
      </c>
      <c r="K410" s="9" t="n">
        <f aca="false">(G410+H410+I410)/E410</f>
        <v>0.0646018317835419</v>
      </c>
    </row>
    <row r="411" customFormat="false" ht="14.25" hidden="false" customHeight="true" outlineLevel="0" collapsed="false">
      <c r="A411" s="5" t="s">
        <v>435</v>
      </c>
      <c r="B411" s="5" t="s">
        <v>22</v>
      </c>
      <c r="C411" s="6" t="n">
        <v>45759</v>
      </c>
      <c r="D411" s="5" t="s">
        <v>19</v>
      </c>
      <c r="E411" s="7" t="n">
        <v>14074</v>
      </c>
      <c r="F411" s="7" t="n">
        <v>12291</v>
      </c>
      <c r="G411" s="7" t="n">
        <v>200</v>
      </c>
      <c r="H411" s="7" t="n">
        <v>83</v>
      </c>
      <c r="I411" s="7" t="n">
        <v>116</v>
      </c>
      <c r="J411" s="8" t="n">
        <v>3.25</v>
      </c>
      <c r="K411" s="9" t="n">
        <f aca="false">(G411+H411+I411)/E411</f>
        <v>0.0283501492113116</v>
      </c>
    </row>
    <row r="412" customFormat="false" ht="14.25" hidden="false" customHeight="true" outlineLevel="0" collapsed="false">
      <c r="A412" s="5" t="s">
        <v>436</v>
      </c>
      <c r="B412" s="5" t="s">
        <v>14</v>
      </c>
      <c r="C412" s="6" t="n">
        <v>45617</v>
      </c>
      <c r="D412" s="5" t="s">
        <v>23</v>
      </c>
      <c r="E412" s="7" t="n">
        <v>59270</v>
      </c>
      <c r="F412" s="7" t="n">
        <v>26853</v>
      </c>
      <c r="G412" s="7" t="n">
        <v>662</v>
      </c>
      <c r="H412" s="7" t="n">
        <v>429</v>
      </c>
      <c r="I412" s="7" t="n">
        <v>453</v>
      </c>
      <c r="J412" s="8" t="n">
        <v>5.75</v>
      </c>
      <c r="K412" s="9" t="n">
        <f aca="false">(G412+H412+I412)/E412</f>
        <v>0.0260502783870424</v>
      </c>
    </row>
    <row r="413" customFormat="false" ht="14.25" hidden="false" customHeight="true" outlineLevel="0" collapsed="false">
      <c r="A413" s="5" t="s">
        <v>437</v>
      </c>
      <c r="B413" s="5" t="s">
        <v>14</v>
      </c>
      <c r="C413" s="6" t="n">
        <v>45943</v>
      </c>
      <c r="D413" s="5" t="s">
        <v>23</v>
      </c>
      <c r="E413" s="7" t="n">
        <v>75915</v>
      </c>
      <c r="F413" s="7" t="n">
        <v>40960</v>
      </c>
      <c r="G413" s="7" t="n">
        <v>1949</v>
      </c>
      <c r="H413" s="7" t="n">
        <v>534</v>
      </c>
      <c r="I413" s="7" t="n">
        <v>352</v>
      </c>
      <c r="J413" s="8" t="n">
        <v>6.92</v>
      </c>
      <c r="K413" s="9" t="n">
        <f aca="false">(G413+H413+I413)/E413</f>
        <v>0.037344398340249</v>
      </c>
    </row>
    <row r="414" customFormat="false" ht="14.25" hidden="false" customHeight="true" outlineLevel="0" collapsed="false">
      <c r="A414" s="5" t="s">
        <v>438</v>
      </c>
      <c r="B414" s="5" t="s">
        <v>18</v>
      </c>
      <c r="C414" s="6" t="n">
        <v>45888</v>
      </c>
      <c r="D414" s="5" t="s">
        <v>23</v>
      </c>
      <c r="E414" s="7" t="n">
        <v>72976</v>
      </c>
      <c r="F414" s="7" t="n">
        <v>47147</v>
      </c>
      <c r="G414" s="7" t="n">
        <v>1145</v>
      </c>
      <c r="H414" s="7" t="n">
        <v>503</v>
      </c>
      <c r="I414" s="7" t="n">
        <v>360</v>
      </c>
      <c r="J414" s="8" t="n">
        <v>4.26</v>
      </c>
      <c r="K414" s="9" t="n">
        <f aca="false">(G414+H414+I414)/E414</f>
        <v>0.0275158956369217</v>
      </c>
    </row>
    <row r="415" customFormat="false" ht="14.25" hidden="false" customHeight="true" outlineLevel="0" collapsed="false">
      <c r="A415" s="5" t="s">
        <v>439</v>
      </c>
      <c r="B415" s="5" t="s">
        <v>18</v>
      </c>
      <c r="C415" s="6" t="n">
        <v>45712</v>
      </c>
      <c r="D415" s="5" t="s">
        <v>26</v>
      </c>
      <c r="E415" s="7" t="n">
        <v>84491</v>
      </c>
      <c r="F415" s="7" t="n">
        <v>47181</v>
      </c>
      <c r="G415" s="7" t="n">
        <v>1531</v>
      </c>
      <c r="H415" s="7" t="n">
        <v>410</v>
      </c>
      <c r="I415" s="7" t="n">
        <v>254</v>
      </c>
      <c r="J415" s="8" t="n">
        <v>4.65</v>
      </c>
      <c r="K415" s="9" t="n">
        <f aca="false">(G415+H415+I415)/E415</f>
        <v>0.0259790983655064</v>
      </c>
    </row>
    <row r="416" customFormat="false" ht="14.25" hidden="false" customHeight="true" outlineLevel="0" collapsed="false">
      <c r="A416" s="5" t="s">
        <v>440</v>
      </c>
      <c r="B416" s="5" t="s">
        <v>18</v>
      </c>
      <c r="C416" s="6" t="n">
        <v>45531</v>
      </c>
      <c r="D416" s="5" t="s">
        <v>28</v>
      </c>
      <c r="E416" s="7" t="n">
        <v>41900</v>
      </c>
      <c r="F416" s="7" t="n">
        <v>25392</v>
      </c>
      <c r="G416" s="7" t="n">
        <v>557</v>
      </c>
      <c r="H416" s="7" t="n">
        <v>158</v>
      </c>
      <c r="I416" s="7" t="n">
        <v>145</v>
      </c>
      <c r="J416" s="8" t="n">
        <v>3.39</v>
      </c>
      <c r="K416" s="9" t="n">
        <f aca="false">(G416+H416+I416)/E416</f>
        <v>0.0205250596658711</v>
      </c>
    </row>
    <row r="417" customFormat="false" ht="14.25" hidden="false" customHeight="true" outlineLevel="0" collapsed="false">
      <c r="A417" s="5" t="s">
        <v>441</v>
      </c>
      <c r="B417" s="5" t="s">
        <v>18</v>
      </c>
      <c r="C417" s="6" t="n">
        <v>45950</v>
      </c>
      <c r="D417" s="5" t="s">
        <v>28</v>
      </c>
      <c r="E417" s="7" t="n">
        <v>2092</v>
      </c>
      <c r="F417" s="7" t="n">
        <v>1004</v>
      </c>
      <c r="G417" s="7" t="n">
        <v>23</v>
      </c>
      <c r="H417" s="7" t="n">
        <v>13</v>
      </c>
      <c r="I417" s="7" t="n">
        <v>3</v>
      </c>
      <c r="J417" s="8" t="n">
        <v>3.88</v>
      </c>
      <c r="K417" s="9" t="n">
        <f aca="false">(G417+H417+I417)/E417</f>
        <v>0.0186424474187381</v>
      </c>
    </row>
    <row r="418" customFormat="false" ht="14.25" hidden="false" customHeight="true" outlineLevel="0" collapsed="false">
      <c r="A418" s="5" t="s">
        <v>442</v>
      </c>
      <c r="B418" s="5" t="s">
        <v>25</v>
      </c>
      <c r="C418" s="6" t="n">
        <v>45524</v>
      </c>
      <c r="D418" s="5" t="s">
        <v>26</v>
      </c>
      <c r="E418" s="7" t="n">
        <v>74779</v>
      </c>
      <c r="F418" s="7" t="n">
        <v>35446</v>
      </c>
      <c r="G418" s="7" t="n">
        <v>2176</v>
      </c>
      <c r="H418" s="7" t="n">
        <v>1055</v>
      </c>
      <c r="I418" s="7" t="n">
        <v>1520</v>
      </c>
      <c r="J418" s="8" t="n">
        <v>13.4</v>
      </c>
      <c r="K418" s="9" t="n">
        <f aca="false">(G418+H418+I418)/E418</f>
        <v>0.0635338798325733</v>
      </c>
    </row>
    <row r="419" customFormat="false" ht="14.25" hidden="false" customHeight="true" outlineLevel="0" collapsed="false">
      <c r="A419" s="5" t="s">
        <v>443</v>
      </c>
      <c r="B419" s="5" t="s">
        <v>33</v>
      </c>
      <c r="C419" s="6" t="n">
        <v>45625</v>
      </c>
      <c r="D419" s="5" t="s">
        <v>15</v>
      </c>
      <c r="E419" s="7" t="n">
        <v>9916</v>
      </c>
      <c r="F419" s="7" t="n">
        <v>7511</v>
      </c>
      <c r="G419" s="7" t="n">
        <v>307</v>
      </c>
      <c r="H419" s="7" t="n">
        <v>78</v>
      </c>
      <c r="I419" s="7" t="n">
        <v>100</v>
      </c>
      <c r="J419" s="8" t="n">
        <v>6.46</v>
      </c>
      <c r="K419" s="9" t="n">
        <f aca="false">(G419+H419+I419)/E419</f>
        <v>0.0489108511496571</v>
      </c>
    </row>
    <row r="420" customFormat="false" ht="14.25" hidden="false" customHeight="true" outlineLevel="0" collapsed="false">
      <c r="A420" s="5" t="s">
        <v>444</v>
      </c>
      <c r="B420" s="5" t="s">
        <v>14</v>
      </c>
      <c r="C420" s="6" t="n">
        <v>45325</v>
      </c>
      <c r="D420" s="5" t="s">
        <v>15</v>
      </c>
      <c r="E420" s="7" t="n">
        <v>4445</v>
      </c>
      <c r="F420" s="7" t="n">
        <v>2252</v>
      </c>
      <c r="G420" s="7" t="n">
        <v>43</v>
      </c>
      <c r="H420" s="7" t="n">
        <v>16</v>
      </c>
      <c r="I420" s="7" t="n">
        <v>36</v>
      </c>
      <c r="J420" s="8" t="n">
        <v>4.22</v>
      </c>
      <c r="K420" s="9" t="n">
        <f aca="false">(G420+H420+I420)/E420</f>
        <v>0.0213723284589426</v>
      </c>
    </row>
    <row r="421" customFormat="false" ht="14.25" hidden="false" customHeight="true" outlineLevel="0" collapsed="false">
      <c r="A421" s="5" t="s">
        <v>445</v>
      </c>
      <c r="B421" s="5" t="s">
        <v>22</v>
      </c>
      <c r="C421" s="6" t="n">
        <v>45668</v>
      </c>
      <c r="D421" s="5" t="s">
        <v>15</v>
      </c>
      <c r="E421" s="7" t="n">
        <v>22072</v>
      </c>
      <c r="F421" s="7" t="n">
        <v>19403</v>
      </c>
      <c r="G421" s="7" t="n">
        <v>308</v>
      </c>
      <c r="H421" s="7" t="n">
        <v>40</v>
      </c>
      <c r="I421" s="7" t="n">
        <v>356</v>
      </c>
      <c r="J421" s="8" t="n">
        <v>3.63</v>
      </c>
      <c r="K421" s="9" t="n">
        <f aca="false">(G421+H421+I421)/E421</f>
        <v>0.0318956143530265</v>
      </c>
    </row>
    <row r="422" customFormat="false" ht="14.25" hidden="false" customHeight="true" outlineLevel="0" collapsed="false">
      <c r="A422" s="5" t="s">
        <v>446</v>
      </c>
      <c r="B422" s="5" t="s">
        <v>25</v>
      </c>
      <c r="C422" s="6" t="n">
        <v>45792</v>
      </c>
      <c r="D422" s="5" t="s">
        <v>26</v>
      </c>
      <c r="E422" s="7" t="n">
        <v>30790</v>
      </c>
      <c r="F422" s="7" t="n">
        <v>15756</v>
      </c>
      <c r="G422" s="7" t="n">
        <v>1096</v>
      </c>
      <c r="H422" s="7" t="n">
        <v>467</v>
      </c>
      <c r="I422" s="7" t="n">
        <v>541</v>
      </c>
      <c r="J422" s="8" t="n">
        <v>13.35</v>
      </c>
      <c r="K422" s="9" t="n">
        <f aca="false">(G422+H422+I422)/E422</f>
        <v>0.0683338746346216</v>
      </c>
    </row>
    <row r="423" customFormat="false" ht="14.25" hidden="false" customHeight="true" outlineLevel="0" collapsed="false">
      <c r="A423" s="5" t="s">
        <v>447</v>
      </c>
      <c r="B423" s="5" t="s">
        <v>25</v>
      </c>
      <c r="C423" s="6" t="n">
        <v>45735</v>
      </c>
      <c r="D423" s="5" t="s">
        <v>23</v>
      </c>
      <c r="E423" s="7" t="n">
        <v>251932</v>
      </c>
      <c r="F423" s="7" t="n">
        <v>111570</v>
      </c>
      <c r="G423" s="7" t="n">
        <v>8185</v>
      </c>
      <c r="H423" s="7" t="n">
        <v>2293</v>
      </c>
      <c r="I423" s="7" t="n">
        <v>2855</v>
      </c>
      <c r="J423" s="8" t="n">
        <v>11.95</v>
      </c>
      <c r="K423" s="9" t="n">
        <f aca="false">(G423+H423+I423)/E423</f>
        <v>0.0529230109712145</v>
      </c>
    </row>
    <row r="424" customFormat="false" ht="14.25" hidden="false" customHeight="true" outlineLevel="0" collapsed="false">
      <c r="A424" s="5" t="s">
        <v>448</v>
      </c>
      <c r="B424" s="5" t="s">
        <v>14</v>
      </c>
      <c r="C424" s="6" t="n">
        <v>45596</v>
      </c>
      <c r="D424" s="5" t="s">
        <v>28</v>
      </c>
      <c r="E424" s="7" t="n">
        <v>30992</v>
      </c>
      <c r="F424" s="7" t="n">
        <v>20919</v>
      </c>
      <c r="G424" s="7" t="n">
        <v>603</v>
      </c>
      <c r="H424" s="7" t="n">
        <v>409</v>
      </c>
      <c r="I424" s="7" t="n">
        <v>243</v>
      </c>
      <c r="J424" s="8" t="n">
        <v>6</v>
      </c>
      <c r="K424" s="9" t="n">
        <f aca="false">(G424+H424+I424)/E424</f>
        <v>0.0404943211151265</v>
      </c>
    </row>
    <row r="425" customFormat="false" ht="14.25" hidden="false" customHeight="true" outlineLevel="0" collapsed="false">
      <c r="A425" s="5" t="s">
        <v>449</v>
      </c>
      <c r="B425" s="5" t="s">
        <v>25</v>
      </c>
      <c r="C425" s="6" t="n">
        <v>45944</v>
      </c>
      <c r="D425" s="5" t="s">
        <v>26</v>
      </c>
      <c r="E425" s="7" t="n">
        <v>143707</v>
      </c>
      <c r="F425" s="7" t="n">
        <v>79032</v>
      </c>
      <c r="G425" s="7" t="n">
        <v>9168</v>
      </c>
      <c r="H425" s="7" t="n">
        <v>2327</v>
      </c>
      <c r="I425" s="7" t="n">
        <v>3788</v>
      </c>
      <c r="J425" s="8" t="n">
        <v>19.34</v>
      </c>
      <c r="K425" s="9" t="n">
        <f aca="false">(G425+H425+I425)/E425</f>
        <v>0.106348333762447</v>
      </c>
    </row>
    <row r="426" customFormat="false" ht="14.25" hidden="false" customHeight="true" outlineLevel="0" collapsed="false">
      <c r="A426" s="5" t="s">
        <v>450</v>
      </c>
      <c r="B426" s="5" t="s">
        <v>22</v>
      </c>
      <c r="C426" s="6" t="n">
        <v>45866</v>
      </c>
      <c r="D426" s="5" t="s">
        <v>19</v>
      </c>
      <c r="E426" s="7" t="n">
        <v>4868</v>
      </c>
      <c r="F426" s="7" t="n">
        <v>2740</v>
      </c>
      <c r="G426" s="7" t="n">
        <v>38</v>
      </c>
      <c r="H426" s="7" t="n">
        <v>19</v>
      </c>
      <c r="I426" s="7" t="n">
        <v>16</v>
      </c>
      <c r="J426" s="8" t="n">
        <v>2.66</v>
      </c>
      <c r="K426" s="9" t="n">
        <f aca="false">(G426+H426+I426)/E426</f>
        <v>0.0149958915365653</v>
      </c>
    </row>
    <row r="427" customFormat="false" ht="14.25" hidden="false" customHeight="true" outlineLevel="0" collapsed="false">
      <c r="A427" s="5" t="s">
        <v>451</v>
      </c>
      <c r="B427" s="5" t="s">
        <v>22</v>
      </c>
      <c r="C427" s="6" t="n">
        <v>45409</v>
      </c>
      <c r="D427" s="5" t="s">
        <v>15</v>
      </c>
      <c r="E427" s="7" t="n">
        <v>21535</v>
      </c>
      <c r="F427" s="7" t="n">
        <v>12055</v>
      </c>
      <c r="G427" s="7" t="n">
        <v>361</v>
      </c>
      <c r="H427" s="7" t="n">
        <v>29</v>
      </c>
      <c r="I427" s="7" t="n">
        <v>205</v>
      </c>
      <c r="J427" s="8" t="n">
        <v>4.94</v>
      </c>
      <c r="K427" s="9" t="n">
        <f aca="false">(G427+H427+I427)/E427</f>
        <v>0.0276294404457859</v>
      </c>
    </row>
    <row r="428" customFormat="false" ht="14.25" hidden="false" customHeight="true" outlineLevel="0" collapsed="false">
      <c r="A428" s="5" t="s">
        <v>452</v>
      </c>
      <c r="B428" s="5" t="s">
        <v>18</v>
      </c>
      <c r="C428" s="6" t="n">
        <v>45464</v>
      </c>
      <c r="D428" s="5" t="s">
        <v>23</v>
      </c>
      <c r="E428" s="7" t="n">
        <v>72066</v>
      </c>
      <c r="F428" s="7" t="n">
        <v>37138</v>
      </c>
      <c r="G428" s="7" t="n">
        <v>948</v>
      </c>
      <c r="H428" s="7" t="n">
        <v>470</v>
      </c>
      <c r="I428" s="7" t="n">
        <v>278</v>
      </c>
      <c r="J428" s="8" t="n">
        <v>4.57</v>
      </c>
      <c r="K428" s="9" t="n">
        <f aca="false">(G428+H428+I428)/E428</f>
        <v>0.0235339827380457</v>
      </c>
    </row>
    <row r="429" customFormat="false" ht="14.25" hidden="false" customHeight="true" outlineLevel="0" collapsed="false">
      <c r="A429" s="5" t="s">
        <v>453</v>
      </c>
      <c r="B429" s="5" t="s">
        <v>22</v>
      </c>
      <c r="C429" s="6" t="n">
        <v>45807</v>
      </c>
      <c r="D429" s="5" t="s">
        <v>19</v>
      </c>
      <c r="E429" s="7" t="n">
        <v>24044</v>
      </c>
      <c r="F429" s="7" t="n">
        <v>17053</v>
      </c>
      <c r="G429" s="7" t="n">
        <v>370</v>
      </c>
      <c r="H429" s="7" t="n">
        <v>101</v>
      </c>
      <c r="I429" s="7" t="n">
        <v>184</v>
      </c>
      <c r="J429" s="8" t="n">
        <v>3.84</v>
      </c>
      <c r="K429" s="9" t="n">
        <f aca="false">(G429+H429+I429)/E429</f>
        <v>0.027241723506904</v>
      </c>
    </row>
    <row r="430" customFormat="false" ht="14.25" hidden="false" customHeight="true" outlineLevel="0" collapsed="false">
      <c r="A430" s="5" t="s">
        <v>454</v>
      </c>
      <c r="B430" s="5" t="s">
        <v>18</v>
      </c>
      <c r="C430" s="6" t="n">
        <v>45747</v>
      </c>
      <c r="D430" s="5" t="s">
        <v>23</v>
      </c>
      <c r="E430" s="7" t="n">
        <v>117879</v>
      </c>
      <c r="F430" s="7" t="n">
        <v>84135</v>
      </c>
      <c r="G430" s="7" t="n">
        <v>3779</v>
      </c>
      <c r="H430" s="7" t="n">
        <v>219</v>
      </c>
      <c r="I430" s="7" t="n">
        <v>331</v>
      </c>
      <c r="J430" s="8" t="n">
        <v>5.15</v>
      </c>
      <c r="K430" s="9" t="n">
        <f aca="false">(G430+H430+I430)/E430</f>
        <v>0.0367240984399257</v>
      </c>
    </row>
    <row r="431" customFormat="false" ht="14.25" hidden="false" customHeight="true" outlineLevel="0" collapsed="false">
      <c r="A431" s="5" t="s">
        <v>455</v>
      </c>
      <c r="B431" s="5" t="s">
        <v>14</v>
      </c>
      <c r="C431" s="6" t="n">
        <v>45860</v>
      </c>
      <c r="D431" s="5" t="s">
        <v>19</v>
      </c>
      <c r="E431" s="7" t="n">
        <v>14346</v>
      </c>
      <c r="F431" s="7" t="n">
        <v>9357</v>
      </c>
      <c r="G431" s="7" t="n">
        <v>141</v>
      </c>
      <c r="H431" s="7" t="n">
        <v>163</v>
      </c>
      <c r="I431" s="7" t="n">
        <v>79</v>
      </c>
      <c r="J431" s="8" t="n">
        <v>4.09</v>
      </c>
      <c r="K431" s="9" t="n">
        <f aca="false">(G431+H431+I431)/E431</f>
        <v>0.0266973372368605</v>
      </c>
    </row>
    <row r="432" customFormat="false" ht="14.25" hidden="false" customHeight="true" outlineLevel="0" collapsed="false">
      <c r="A432" s="5" t="s">
        <v>456</v>
      </c>
      <c r="B432" s="5" t="s">
        <v>33</v>
      </c>
      <c r="C432" s="6" t="n">
        <v>45694</v>
      </c>
      <c r="D432" s="5" t="s">
        <v>19</v>
      </c>
      <c r="E432" s="7" t="n">
        <v>3303</v>
      </c>
      <c r="F432" s="7" t="n">
        <v>1627</v>
      </c>
      <c r="G432" s="7" t="n">
        <v>45</v>
      </c>
      <c r="H432" s="7" t="n">
        <v>31</v>
      </c>
      <c r="I432" s="7" t="n">
        <v>16</v>
      </c>
      <c r="J432" s="8" t="n">
        <v>5.65</v>
      </c>
      <c r="K432" s="9" t="n">
        <f aca="false">(G432+H432+I432)/E432</f>
        <v>0.0278534665455646</v>
      </c>
    </row>
    <row r="433" customFormat="false" ht="14.25" hidden="false" customHeight="true" outlineLevel="0" collapsed="false">
      <c r="A433" s="5" t="s">
        <v>457</v>
      </c>
      <c r="B433" s="5" t="s">
        <v>22</v>
      </c>
      <c r="C433" s="6" t="n">
        <v>45488</v>
      </c>
      <c r="D433" s="5" t="s">
        <v>19</v>
      </c>
      <c r="E433" s="7" t="n">
        <v>7765</v>
      </c>
      <c r="F433" s="7" t="n">
        <v>5378</v>
      </c>
      <c r="G433" s="7" t="n">
        <v>111</v>
      </c>
      <c r="H433" s="7" t="n">
        <v>15</v>
      </c>
      <c r="I433" s="7" t="n">
        <v>26</v>
      </c>
      <c r="J433" s="8" t="n">
        <v>2.83</v>
      </c>
      <c r="K433" s="9" t="n">
        <f aca="false">(G433+H433+I433)/E433</f>
        <v>0.0195750160978751</v>
      </c>
    </row>
    <row r="434" customFormat="false" ht="14.25" hidden="false" customHeight="true" outlineLevel="0" collapsed="false">
      <c r="A434" s="5" t="s">
        <v>458</v>
      </c>
      <c r="B434" s="5" t="s">
        <v>14</v>
      </c>
      <c r="C434" s="6" t="n">
        <v>45705</v>
      </c>
      <c r="D434" s="5" t="s">
        <v>28</v>
      </c>
      <c r="E434" s="7" t="n">
        <v>21592</v>
      </c>
      <c r="F434" s="7" t="n">
        <v>8602</v>
      </c>
      <c r="G434" s="7" t="n">
        <v>123</v>
      </c>
      <c r="H434" s="7" t="n">
        <v>161</v>
      </c>
      <c r="I434" s="7" t="n">
        <v>152</v>
      </c>
      <c r="J434" s="8" t="n">
        <v>5.07</v>
      </c>
      <c r="K434" s="9" t="n">
        <f aca="false">(G434+H434+I434)/E434</f>
        <v>0.020192663949611</v>
      </c>
    </row>
    <row r="435" customFormat="false" ht="14.25" hidden="false" customHeight="true" outlineLevel="0" collapsed="false">
      <c r="A435" s="5" t="s">
        <v>459</v>
      </c>
      <c r="B435" s="5" t="s">
        <v>22</v>
      </c>
      <c r="C435" s="6" t="n">
        <v>45971</v>
      </c>
      <c r="D435" s="5" t="s">
        <v>19</v>
      </c>
      <c r="E435" s="7" t="n">
        <v>13531</v>
      </c>
      <c r="F435" s="7" t="n">
        <v>11061</v>
      </c>
      <c r="G435" s="7" t="n">
        <v>55</v>
      </c>
      <c r="H435" s="7" t="n">
        <v>40</v>
      </c>
      <c r="I435" s="7" t="n">
        <v>183</v>
      </c>
      <c r="J435" s="8" t="n">
        <v>2.51</v>
      </c>
      <c r="K435" s="9" t="n">
        <f aca="false">(G435+H435+I435)/E435</f>
        <v>0.0205454142339812</v>
      </c>
    </row>
    <row r="436" customFormat="false" ht="14.25" hidden="false" customHeight="true" outlineLevel="0" collapsed="false">
      <c r="A436" s="5" t="s">
        <v>460</v>
      </c>
      <c r="B436" s="5" t="s">
        <v>18</v>
      </c>
      <c r="C436" s="6" t="n">
        <v>45795</v>
      </c>
      <c r="D436" s="5" t="s">
        <v>26</v>
      </c>
      <c r="E436" s="7" t="n">
        <v>87545</v>
      </c>
      <c r="F436" s="7" t="n">
        <v>56804</v>
      </c>
      <c r="G436" s="7" t="n">
        <v>3480</v>
      </c>
      <c r="H436" s="7" t="n">
        <v>778</v>
      </c>
      <c r="I436" s="7" t="n">
        <v>443</v>
      </c>
      <c r="J436" s="8" t="n">
        <v>8.28</v>
      </c>
      <c r="K436" s="9" t="n">
        <f aca="false">(G436+H436+I436)/E436</f>
        <v>0.0536980981209664</v>
      </c>
    </row>
    <row r="437" customFormat="false" ht="14.25" hidden="false" customHeight="true" outlineLevel="0" collapsed="false">
      <c r="A437" s="5" t="s">
        <v>461</v>
      </c>
      <c r="B437" s="5" t="s">
        <v>18</v>
      </c>
      <c r="C437" s="6" t="n">
        <v>45554</v>
      </c>
      <c r="D437" s="5" t="s">
        <v>26</v>
      </c>
      <c r="E437" s="7" t="n">
        <v>30509</v>
      </c>
      <c r="F437" s="7" t="n">
        <v>19164</v>
      </c>
      <c r="G437" s="7" t="n">
        <v>769</v>
      </c>
      <c r="H437" s="7" t="n">
        <v>216</v>
      </c>
      <c r="I437" s="7" t="n">
        <v>43</v>
      </c>
      <c r="J437" s="8" t="n">
        <v>5.36</v>
      </c>
      <c r="K437" s="9" t="n">
        <f aca="false">(G437+H437+I437)/E437</f>
        <v>0.033694975253204</v>
      </c>
    </row>
    <row r="438" customFormat="false" ht="14.25" hidden="false" customHeight="true" outlineLevel="0" collapsed="false">
      <c r="A438" s="5" t="s">
        <v>462</v>
      </c>
      <c r="B438" s="5" t="s">
        <v>18</v>
      </c>
      <c r="C438" s="6" t="n">
        <v>45629</v>
      </c>
      <c r="D438" s="5" t="s">
        <v>28</v>
      </c>
      <c r="E438" s="7" t="n">
        <v>53167</v>
      </c>
      <c r="F438" s="7" t="n">
        <v>23514</v>
      </c>
      <c r="G438" s="7" t="n">
        <v>1779</v>
      </c>
      <c r="H438" s="7" t="n">
        <v>332</v>
      </c>
      <c r="I438" s="7" t="n">
        <v>44</v>
      </c>
      <c r="J438" s="8" t="n">
        <v>9.16</v>
      </c>
      <c r="K438" s="9" t="n">
        <f aca="false">(G438+H438+I438)/E438</f>
        <v>0.0405326612372336</v>
      </c>
    </row>
    <row r="439" customFormat="false" ht="14.25" hidden="false" customHeight="true" outlineLevel="0" collapsed="false">
      <c r="A439" s="5" t="s">
        <v>463</v>
      </c>
      <c r="B439" s="5" t="s">
        <v>14</v>
      </c>
      <c r="C439" s="6" t="n">
        <v>45365</v>
      </c>
      <c r="D439" s="5" t="s">
        <v>19</v>
      </c>
      <c r="E439" s="7" t="n">
        <v>22118</v>
      </c>
      <c r="F439" s="7" t="n">
        <v>10636</v>
      </c>
      <c r="G439" s="7" t="n">
        <v>350</v>
      </c>
      <c r="H439" s="7" t="n">
        <v>171</v>
      </c>
      <c r="I439" s="7" t="n">
        <v>189</v>
      </c>
      <c r="J439" s="8" t="n">
        <v>6.68</v>
      </c>
      <c r="K439" s="9" t="n">
        <f aca="false">(G439+H439+I439)/E439</f>
        <v>0.0321005515869428</v>
      </c>
    </row>
    <row r="440" customFormat="false" ht="14.25" hidden="false" customHeight="true" outlineLevel="0" collapsed="false">
      <c r="A440" s="5" t="s">
        <v>464</v>
      </c>
      <c r="B440" s="5" t="s">
        <v>25</v>
      </c>
      <c r="C440" s="6" t="n">
        <v>45833</v>
      </c>
      <c r="D440" s="5" t="s">
        <v>26</v>
      </c>
      <c r="E440" s="7" t="n">
        <v>6518</v>
      </c>
      <c r="F440" s="7" t="n">
        <v>4208</v>
      </c>
      <c r="G440" s="7" t="n">
        <v>456</v>
      </c>
      <c r="H440" s="7" t="n">
        <v>113</v>
      </c>
      <c r="I440" s="7" t="n">
        <v>50</v>
      </c>
      <c r="J440" s="8" t="n">
        <v>14.71</v>
      </c>
      <c r="K440" s="9" t="n">
        <f aca="false">(G440+H440+I440)/E440</f>
        <v>0.0949677815280761</v>
      </c>
    </row>
    <row r="441" customFormat="false" ht="14.25" hidden="false" customHeight="true" outlineLevel="0" collapsed="false">
      <c r="A441" s="5" t="s">
        <v>465</v>
      </c>
      <c r="B441" s="5" t="s">
        <v>18</v>
      </c>
      <c r="C441" s="6" t="n">
        <v>46008</v>
      </c>
      <c r="D441" s="5" t="s">
        <v>28</v>
      </c>
      <c r="E441" s="7" t="n">
        <v>57148</v>
      </c>
      <c r="F441" s="7" t="n">
        <v>44870</v>
      </c>
      <c r="G441" s="7" t="n">
        <v>1514</v>
      </c>
      <c r="H441" s="7" t="n">
        <v>359</v>
      </c>
      <c r="I441" s="7" t="n">
        <v>292</v>
      </c>
      <c r="J441" s="8" t="n">
        <v>4.83</v>
      </c>
      <c r="K441" s="9" t="n">
        <f aca="false">(G441+H441+I441)/E441</f>
        <v>0.0378840904318611</v>
      </c>
    </row>
    <row r="442" customFormat="false" ht="14.25" hidden="false" customHeight="true" outlineLevel="0" collapsed="false">
      <c r="A442" s="5" t="s">
        <v>466</v>
      </c>
      <c r="B442" s="5" t="s">
        <v>14</v>
      </c>
      <c r="C442" s="6" t="n">
        <v>45521</v>
      </c>
      <c r="D442" s="5" t="s">
        <v>19</v>
      </c>
      <c r="E442" s="7" t="n">
        <v>9102</v>
      </c>
      <c r="F442" s="7" t="n">
        <v>5221</v>
      </c>
      <c r="G442" s="7" t="n">
        <v>83</v>
      </c>
      <c r="H442" s="7" t="n">
        <v>19</v>
      </c>
      <c r="I442" s="7" t="n">
        <v>36</v>
      </c>
      <c r="J442" s="8" t="n">
        <v>2.64</v>
      </c>
      <c r="K442" s="9" t="n">
        <f aca="false">(G442+H442+I442)/E442</f>
        <v>0.015161502966381</v>
      </c>
    </row>
    <row r="443" customFormat="false" ht="14.25" hidden="false" customHeight="true" outlineLevel="0" collapsed="false">
      <c r="A443" s="5" t="s">
        <v>467</v>
      </c>
      <c r="B443" s="5" t="s">
        <v>25</v>
      </c>
      <c r="C443" s="6" t="n">
        <v>45575</v>
      </c>
      <c r="D443" s="5" t="s">
        <v>26</v>
      </c>
      <c r="E443" s="7" t="n">
        <v>392291</v>
      </c>
      <c r="F443" s="7" t="n">
        <v>211695</v>
      </c>
      <c r="G443" s="7" t="n">
        <v>17800</v>
      </c>
      <c r="H443" s="7" t="n">
        <v>3874</v>
      </c>
      <c r="I443" s="7" t="n">
        <v>5323</v>
      </c>
      <c r="J443" s="8" t="n">
        <v>12.75</v>
      </c>
      <c r="K443" s="9" t="n">
        <f aca="false">(G443+H443+I443)/E443</f>
        <v>0.0688188105258596</v>
      </c>
    </row>
    <row r="444" customFormat="false" ht="14.25" hidden="false" customHeight="true" outlineLevel="0" collapsed="false">
      <c r="A444" s="5" t="s">
        <v>468</v>
      </c>
      <c r="B444" s="5" t="s">
        <v>25</v>
      </c>
      <c r="C444" s="6" t="n">
        <v>45549</v>
      </c>
      <c r="D444" s="5" t="s">
        <v>26</v>
      </c>
      <c r="E444" s="7" t="n">
        <v>82125</v>
      </c>
      <c r="F444" s="7" t="n">
        <v>30012</v>
      </c>
      <c r="G444" s="7" t="n">
        <v>2121</v>
      </c>
      <c r="H444" s="7" t="n">
        <v>621</v>
      </c>
      <c r="I444" s="7" t="n">
        <v>1487</v>
      </c>
      <c r="J444" s="8" t="n">
        <v>14.09</v>
      </c>
      <c r="K444" s="9" t="n">
        <f aca="false">(G444+H444+I444)/E444</f>
        <v>0.0514946727549467</v>
      </c>
    </row>
    <row r="445" customFormat="false" ht="14.25" hidden="false" customHeight="true" outlineLevel="0" collapsed="false">
      <c r="A445" s="5" t="s">
        <v>469</v>
      </c>
      <c r="B445" s="5" t="s">
        <v>25</v>
      </c>
      <c r="C445" s="6" t="n">
        <v>46014</v>
      </c>
      <c r="D445" s="5" t="s">
        <v>26</v>
      </c>
      <c r="E445" s="7" t="n">
        <v>225458</v>
      </c>
      <c r="F445" s="7" t="n">
        <v>132441</v>
      </c>
      <c r="G445" s="7" t="n">
        <v>8363</v>
      </c>
      <c r="H445" s="7" t="n">
        <v>1585</v>
      </c>
      <c r="I445" s="7" t="n">
        <v>3594</v>
      </c>
      <c r="J445" s="8" t="n">
        <v>10.22</v>
      </c>
      <c r="K445" s="9" t="n">
        <f aca="false">(G445+H445+I445)/E445</f>
        <v>0.060064402238998</v>
      </c>
    </row>
    <row r="446" customFormat="false" ht="14.25" hidden="false" customHeight="true" outlineLevel="0" collapsed="false">
      <c r="A446" s="5" t="s">
        <v>470</v>
      </c>
      <c r="B446" s="5" t="s">
        <v>22</v>
      </c>
      <c r="C446" s="6" t="n">
        <v>45520</v>
      </c>
      <c r="D446" s="5" t="s">
        <v>23</v>
      </c>
      <c r="E446" s="7" t="n">
        <v>31441</v>
      </c>
      <c r="F446" s="7" t="n">
        <v>22917</v>
      </c>
      <c r="G446" s="7" t="n">
        <v>633</v>
      </c>
      <c r="H446" s="7" t="n">
        <v>99</v>
      </c>
      <c r="I446" s="7" t="n">
        <v>79</v>
      </c>
      <c r="J446" s="8" t="n">
        <v>3.54</v>
      </c>
      <c r="K446" s="9" t="n">
        <f aca="false">(G446+H446+I446)/E446</f>
        <v>0.0257943449635826</v>
      </c>
    </row>
    <row r="447" customFormat="false" ht="14.25" hidden="false" customHeight="true" outlineLevel="0" collapsed="false">
      <c r="A447" s="5" t="s">
        <v>471</v>
      </c>
      <c r="B447" s="5" t="s">
        <v>18</v>
      </c>
      <c r="C447" s="6" t="n">
        <v>45598</v>
      </c>
      <c r="D447" s="5" t="s">
        <v>28</v>
      </c>
      <c r="E447" s="7" t="n">
        <v>68693</v>
      </c>
      <c r="F447" s="7" t="n">
        <v>35653</v>
      </c>
      <c r="G447" s="7" t="n">
        <v>896</v>
      </c>
      <c r="H447" s="7" t="n">
        <v>435</v>
      </c>
      <c r="I447" s="7" t="n">
        <v>174</v>
      </c>
      <c r="J447" s="8" t="n">
        <v>4.22</v>
      </c>
      <c r="K447" s="9" t="n">
        <f aca="false">(G447+H447+I447)/E447</f>
        <v>0.0219090737047443</v>
      </c>
    </row>
    <row r="448" customFormat="false" ht="14.25" hidden="false" customHeight="true" outlineLevel="0" collapsed="false">
      <c r="A448" s="5" t="s">
        <v>472</v>
      </c>
      <c r="B448" s="5" t="s">
        <v>25</v>
      </c>
      <c r="C448" s="6" t="n">
        <v>45380</v>
      </c>
      <c r="D448" s="5" t="s">
        <v>26</v>
      </c>
      <c r="E448" s="7" t="n">
        <v>288296</v>
      </c>
      <c r="F448" s="7" t="n">
        <v>88273</v>
      </c>
      <c r="G448" s="7" t="n">
        <v>4066</v>
      </c>
      <c r="H448" s="7" t="n">
        <v>1872</v>
      </c>
      <c r="I448" s="7" t="n">
        <v>3760</v>
      </c>
      <c r="J448" s="8" t="n">
        <v>10.99</v>
      </c>
      <c r="K448" s="9" t="n">
        <f aca="false">(G448+H448+I448)/E448</f>
        <v>0.0336390376557427</v>
      </c>
    </row>
    <row r="449" customFormat="false" ht="14.25" hidden="false" customHeight="true" outlineLevel="0" collapsed="false">
      <c r="A449" s="5" t="s">
        <v>473</v>
      </c>
      <c r="B449" s="5" t="s">
        <v>14</v>
      </c>
      <c r="C449" s="6" t="n">
        <v>45727</v>
      </c>
      <c r="D449" s="5" t="s">
        <v>15</v>
      </c>
      <c r="E449" s="7" t="n">
        <v>1023</v>
      </c>
      <c r="F449" s="7" t="n">
        <v>695</v>
      </c>
      <c r="G449" s="7" t="n">
        <v>30</v>
      </c>
      <c r="H449" s="7" t="n">
        <v>9</v>
      </c>
      <c r="I449" s="7" t="n">
        <v>12</v>
      </c>
      <c r="J449" s="8" t="n">
        <v>7.34</v>
      </c>
      <c r="K449" s="9" t="n">
        <f aca="false">(G449+H449+I449)/E449</f>
        <v>0.0498533724340176</v>
      </c>
    </row>
    <row r="450" customFormat="false" ht="14.25" hidden="false" customHeight="true" outlineLevel="0" collapsed="false">
      <c r="A450" s="5" t="s">
        <v>474</v>
      </c>
      <c r="B450" s="5" t="s">
        <v>22</v>
      </c>
      <c r="C450" s="6" t="n">
        <v>45293</v>
      </c>
      <c r="D450" s="5" t="s">
        <v>23</v>
      </c>
      <c r="E450" s="7" t="n">
        <v>3481</v>
      </c>
      <c r="F450" s="7" t="n">
        <v>2768</v>
      </c>
      <c r="G450" s="7" t="n">
        <v>41</v>
      </c>
      <c r="H450" s="7" t="n">
        <v>19</v>
      </c>
      <c r="I450" s="7" t="n">
        <v>36</v>
      </c>
      <c r="J450" s="8" t="n">
        <v>3.47</v>
      </c>
      <c r="K450" s="9" t="n">
        <f aca="false">(G450+H450+I450)/E450</f>
        <v>0.027578282102844</v>
      </c>
    </row>
    <row r="451" customFormat="false" ht="14.25" hidden="false" customHeight="true" outlineLevel="0" collapsed="false">
      <c r="A451" s="5" t="s">
        <v>475</v>
      </c>
      <c r="B451" s="5" t="s">
        <v>33</v>
      </c>
      <c r="C451" s="6" t="n">
        <v>46002</v>
      </c>
      <c r="D451" s="5" t="s">
        <v>15</v>
      </c>
      <c r="E451" s="7" t="n">
        <v>18614</v>
      </c>
      <c r="F451" s="7" t="n">
        <v>13525</v>
      </c>
      <c r="G451" s="7" t="n">
        <v>446</v>
      </c>
      <c r="H451" s="7" t="n">
        <v>168</v>
      </c>
      <c r="I451" s="7" t="n">
        <v>149</v>
      </c>
      <c r="J451" s="8" t="n">
        <v>5.64</v>
      </c>
      <c r="K451" s="9" t="n">
        <f aca="false">(G451+H451+I451)/E451</f>
        <v>0.0409906521972709</v>
      </c>
    </row>
    <row r="452" customFormat="false" ht="14.25" hidden="false" customHeight="true" outlineLevel="0" collapsed="false">
      <c r="A452" s="5" t="s">
        <v>476</v>
      </c>
      <c r="B452" s="5" t="s">
        <v>22</v>
      </c>
      <c r="C452" s="6" t="n">
        <v>45923</v>
      </c>
      <c r="D452" s="5" t="s">
        <v>23</v>
      </c>
      <c r="E452" s="7" t="n">
        <v>29996</v>
      </c>
      <c r="F452" s="7" t="n">
        <v>16944</v>
      </c>
      <c r="G452" s="7" t="n">
        <v>288</v>
      </c>
      <c r="H452" s="7" t="n">
        <v>71</v>
      </c>
      <c r="I452" s="7" t="n">
        <v>93</v>
      </c>
      <c r="J452" s="8" t="n">
        <v>2.67</v>
      </c>
      <c r="K452" s="9" t="n">
        <f aca="false">(G452+H452+I452)/E452</f>
        <v>0.0150686758234431</v>
      </c>
    </row>
    <row r="453" customFormat="false" ht="14.25" hidden="false" customHeight="true" outlineLevel="0" collapsed="false">
      <c r="A453" s="5" t="s">
        <v>477</v>
      </c>
      <c r="B453" s="5" t="s">
        <v>22</v>
      </c>
      <c r="C453" s="6" t="n">
        <v>45922</v>
      </c>
      <c r="D453" s="5" t="s">
        <v>19</v>
      </c>
      <c r="E453" s="7" t="n">
        <v>5854</v>
      </c>
      <c r="F453" s="7" t="n">
        <v>3519</v>
      </c>
      <c r="G453" s="7" t="n">
        <v>68</v>
      </c>
      <c r="H453" s="7" t="n">
        <v>7</v>
      </c>
      <c r="I453" s="7" t="n">
        <v>60</v>
      </c>
      <c r="J453" s="8" t="n">
        <v>3.84</v>
      </c>
      <c r="K453" s="9" t="n">
        <f aca="false">(G453+H453+I453)/E453</f>
        <v>0.023061154765972</v>
      </c>
    </row>
    <row r="454" customFormat="false" ht="14.25" hidden="false" customHeight="true" outlineLevel="0" collapsed="false">
      <c r="A454" s="5" t="s">
        <v>478</v>
      </c>
      <c r="B454" s="5" t="s">
        <v>14</v>
      </c>
      <c r="C454" s="6" t="n">
        <v>45845</v>
      </c>
      <c r="D454" s="5" t="s">
        <v>15</v>
      </c>
      <c r="E454" s="7" t="n">
        <v>12421</v>
      </c>
      <c r="F454" s="7" t="n">
        <v>5242</v>
      </c>
      <c r="G454" s="7" t="n">
        <v>156</v>
      </c>
      <c r="H454" s="7" t="n">
        <v>19</v>
      </c>
      <c r="I454" s="7" t="n">
        <v>100</v>
      </c>
      <c r="J454" s="8" t="n">
        <v>5.25</v>
      </c>
      <c r="K454" s="9" t="n">
        <f aca="false">(G454+H454+I454)/E454</f>
        <v>0.0221399243217132</v>
      </c>
    </row>
    <row r="455" customFormat="false" ht="14.25" hidden="false" customHeight="true" outlineLevel="0" collapsed="false">
      <c r="A455" s="5" t="s">
        <v>479</v>
      </c>
      <c r="B455" s="5" t="s">
        <v>14</v>
      </c>
      <c r="C455" s="6" t="n">
        <v>45654</v>
      </c>
      <c r="D455" s="5" t="s">
        <v>19</v>
      </c>
      <c r="E455" s="7" t="n">
        <v>26906</v>
      </c>
      <c r="F455" s="7" t="n">
        <v>16471</v>
      </c>
      <c r="G455" s="7" t="n">
        <v>544</v>
      </c>
      <c r="H455" s="7" t="n">
        <v>158</v>
      </c>
      <c r="I455" s="7" t="n">
        <v>240</v>
      </c>
      <c r="J455" s="8" t="n">
        <v>5.72</v>
      </c>
      <c r="K455" s="9" t="n">
        <f aca="false">(G455+H455+I455)/E455</f>
        <v>0.035010778265071</v>
      </c>
    </row>
    <row r="456" customFormat="false" ht="14.25" hidden="false" customHeight="true" outlineLevel="0" collapsed="false">
      <c r="A456" s="5" t="s">
        <v>480</v>
      </c>
      <c r="B456" s="5" t="s">
        <v>25</v>
      </c>
      <c r="C456" s="6" t="n">
        <v>45883</v>
      </c>
      <c r="D456" s="5" t="s">
        <v>26</v>
      </c>
      <c r="E456" s="7" t="n">
        <v>328225</v>
      </c>
      <c r="F456" s="7" t="n">
        <v>141102</v>
      </c>
      <c r="G456" s="7" t="n">
        <v>4621</v>
      </c>
      <c r="H456" s="7" t="n">
        <v>3283</v>
      </c>
      <c r="I456" s="7" t="n">
        <v>1763</v>
      </c>
      <c r="J456" s="8" t="n">
        <v>6.85</v>
      </c>
      <c r="K456" s="9" t="n">
        <f aca="false">(G456+H456+I456)/E456</f>
        <v>0.0294523573767995</v>
      </c>
    </row>
    <row r="457" customFormat="false" ht="14.25" hidden="false" customHeight="true" outlineLevel="0" collapsed="false">
      <c r="A457" s="5" t="s">
        <v>481</v>
      </c>
      <c r="B457" s="5" t="s">
        <v>18</v>
      </c>
      <c r="C457" s="6" t="n">
        <v>45679</v>
      </c>
      <c r="D457" s="5" t="s">
        <v>19</v>
      </c>
      <c r="E457" s="7" t="n">
        <v>17569</v>
      </c>
      <c r="F457" s="7" t="n">
        <v>11376</v>
      </c>
      <c r="G457" s="7" t="n">
        <v>827</v>
      </c>
      <c r="H457" s="7" t="n">
        <v>41</v>
      </c>
      <c r="I457" s="7" t="n">
        <v>46</v>
      </c>
      <c r="J457" s="8" t="n">
        <v>8.03</v>
      </c>
      <c r="K457" s="9" t="n">
        <f aca="false">(G457+H457+I457)/E457</f>
        <v>0.0520234503955831</v>
      </c>
    </row>
    <row r="458" customFormat="false" ht="14.25" hidden="false" customHeight="true" outlineLevel="0" collapsed="false">
      <c r="A458" s="5" t="s">
        <v>482</v>
      </c>
      <c r="B458" s="5" t="s">
        <v>18</v>
      </c>
      <c r="C458" s="6" t="n">
        <v>45665</v>
      </c>
      <c r="D458" s="5" t="s">
        <v>26</v>
      </c>
      <c r="E458" s="7" t="n">
        <v>66334</v>
      </c>
      <c r="F458" s="7" t="n">
        <v>51977</v>
      </c>
      <c r="G458" s="7" t="n">
        <v>3856</v>
      </c>
      <c r="H458" s="7" t="n">
        <v>534</v>
      </c>
      <c r="I458" s="7" t="n">
        <v>80</v>
      </c>
      <c r="J458" s="8" t="n">
        <v>8.6</v>
      </c>
      <c r="K458" s="9" t="n">
        <f aca="false">(G458+H458+I458)/E458</f>
        <v>0.0673862574245485</v>
      </c>
    </row>
    <row r="459" customFormat="false" ht="14.25" hidden="false" customHeight="true" outlineLevel="0" collapsed="false">
      <c r="A459" s="5" t="s">
        <v>483</v>
      </c>
      <c r="B459" s="5" t="s">
        <v>33</v>
      </c>
      <c r="C459" s="6" t="n">
        <v>45599</v>
      </c>
      <c r="D459" s="5" t="s">
        <v>28</v>
      </c>
      <c r="E459" s="7" t="n">
        <v>19570</v>
      </c>
      <c r="F459" s="7" t="n">
        <v>15430</v>
      </c>
      <c r="G459" s="7" t="n">
        <v>681</v>
      </c>
      <c r="H459" s="7" t="n">
        <v>176</v>
      </c>
      <c r="I459" s="7" t="n">
        <v>156</v>
      </c>
      <c r="J459" s="8" t="n">
        <v>6.57</v>
      </c>
      <c r="K459" s="9" t="n">
        <f aca="false">(G459+H459+I459)/E459</f>
        <v>0.0517629024016352</v>
      </c>
    </row>
    <row r="460" customFormat="false" ht="14.25" hidden="false" customHeight="true" outlineLevel="0" collapsed="false">
      <c r="A460" s="5" t="s">
        <v>484</v>
      </c>
      <c r="B460" s="5" t="s">
        <v>33</v>
      </c>
      <c r="C460" s="6" t="n">
        <v>45419</v>
      </c>
      <c r="D460" s="5" t="s">
        <v>15</v>
      </c>
      <c r="E460" s="7" t="n">
        <v>9852</v>
      </c>
      <c r="F460" s="7" t="n">
        <v>6630</v>
      </c>
      <c r="G460" s="7" t="n">
        <v>339</v>
      </c>
      <c r="H460" s="7" t="n">
        <v>103</v>
      </c>
      <c r="I460" s="7" t="n">
        <v>87</v>
      </c>
      <c r="J460" s="8" t="n">
        <v>7.98</v>
      </c>
      <c r="K460" s="9" t="n">
        <f aca="false">(G460+H460+I460)/E460</f>
        <v>0.0536946812829882</v>
      </c>
    </row>
    <row r="461" customFormat="false" ht="14.25" hidden="false" customHeight="true" outlineLevel="0" collapsed="false">
      <c r="A461" s="5" t="s">
        <v>485</v>
      </c>
      <c r="B461" s="5" t="s">
        <v>18</v>
      </c>
      <c r="C461" s="6" t="n">
        <v>45931</v>
      </c>
      <c r="D461" s="5" t="s">
        <v>23</v>
      </c>
      <c r="E461" s="7" t="n">
        <v>92161</v>
      </c>
      <c r="F461" s="7" t="n">
        <v>40403</v>
      </c>
      <c r="G461" s="7" t="n">
        <v>2368</v>
      </c>
      <c r="H461" s="7" t="n">
        <v>102</v>
      </c>
      <c r="I461" s="7" t="n">
        <v>87</v>
      </c>
      <c r="J461" s="8" t="n">
        <v>6.33</v>
      </c>
      <c r="K461" s="9" t="n">
        <f aca="false">(G461+H461+I461)/E461</f>
        <v>0.0277449246427448</v>
      </c>
    </row>
    <row r="462" customFormat="false" ht="14.25" hidden="false" customHeight="true" outlineLevel="0" collapsed="false">
      <c r="A462" s="5" t="s">
        <v>486</v>
      </c>
      <c r="B462" s="5" t="s">
        <v>14</v>
      </c>
      <c r="C462" s="6" t="n">
        <v>45736</v>
      </c>
      <c r="D462" s="5" t="s">
        <v>15</v>
      </c>
      <c r="E462" s="7" t="n">
        <v>3970</v>
      </c>
      <c r="F462" s="7" t="n">
        <v>2263</v>
      </c>
      <c r="G462" s="7" t="n">
        <v>24</v>
      </c>
      <c r="H462" s="7" t="n">
        <v>8</v>
      </c>
      <c r="I462" s="7" t="n">
        <v>28</v>
      </c>
      <c r="J462" s="8" t="n">
        <v>2.65</v>
      </c>
      <c r="K462" s="9" t="n">
        <f aca="false">(G462+H462+I462)/E462</f>
        <v>0.0151133501259446</v>
      </c>
    </row>
    <row r="463" customFormat="false" ht="14.25" hidden="false" customHeight="true" outlineLevel="0" collapsed="false">
      <c r="A463" s="5" t="s">
        <v>487</v>
      </c>
      <c r="B463" s="5" t="s">
        <v>25</v>
      </c>
      <c r="C463" s="6" t="n">
        <v>45830</v>
      </c>
      <c r="D463" s="5" t="s">
        <v>26</v>
      </c>
      <c r="E463" s="7" t="n">
        <v>110636</v>
      </c>
      <c r="F463" s="7" t="n">
        <v>36923</v>
      </c>
      <c r="G463" s="7" t="n">
        <v>1473</v>
      </c>
      <c r="H463" s="7" t="n">
        <v>914</v>
      </c>
      <c r="I463" s="7" t="n">
        <v>1165</v>
      </c>
      <c r="J463" s="8" t="n">
        <v>9.62</v>
      </c>
      <c r="K463" s="9" t="n">
        <f aca="false">(G463+H463+I463)/E463</f>
        <v>0.03210528218663</v>
      </c>
    </row>
    <row r="464" customFormat="false" ht="14.25" hidden="false" customHeight="true" outlineLevel="0" collapsed="false">
      <c r="A464" s="5" t="s">
        <v>488</v>
      </c>
      <c r="B464" s="5" t="s">
        <v>18</v>
      </c>
      <c r="C464" s="6" t="n">
        <v>45716</v>
      </c>
      <c r="D464" s="5" t="s">
        <v>26</v>
      </c>
      <c r="E464" s="7" t="n">
        <v>52965</v>
      </c>
      <c r="F464" s="7" t="n">
        <v>21319</v>
      </c>
      <c r="G464" s="7" t="n">
        <v>616</v>
      </c>
      <c r="H464" s="7" t="n">
        <v>180</v>
      </c>
      <c r="I464" s="7" t="n">
        <v>147</v>
      </c>
      <c r="J464" s="8" t="n">
        <v>4.42</v>
      </c>
      <c r="K464" s="9" t="n">
        <f aca="false">(G464+H464+I464)/E464</f>
        <v>0.0178042103275748</v>
      </c>
    </row>
    <row r="465" customFormat="false" ht="14.25" hidden="false" customHeight="true" outlineLevel="0" collapsed="false">
      <c r="A465" s="5" t="s">
        <v>489</v>
      </c>
      <c r="B465" s="5" t="s">
        <v>22</v>
      </c>
      <c r="C465" s="6" t="n">
        <v>45490</v>
      </c>
      <c r="D465" s="5" t="s">
        <v>23</v>
      </c>
      <c r="E465" s="7" t="n">
        <v>43511</v>
      </c>
      <c r="F465" s="7" t="n">
        <v>37194</v>
      </c>
      <c r="G465" s="7" t="n">
        <v>998</v>
      </c>
      <c r="H465" s="7" t="n">
        <v>135</v>
      </c>
      <c r="I465" s="7" t="n">
        <v>84</v>
      </c>
      <c r="J465" s="8" t="n">
        <v>3.27</v>
      </c>
      <c r="K465" s="9" t="n">
        <f aca="false">(G465+H465+I465)/E465</f>
        <v>0.0279699386362069</v>
      </c>
    </row>
    <row r="466" customFormat="false" ht="14.25" hidden="false" customHeight="true" outlineLevel="0" collapsed="false">
      <c r="A466" s="5" t="s">
        <v>490</v>
      </c>
      <c r="B466" s="5" t="s">
        <v>25</v>
      </c>
      <c r="C466" s="6" t="n">
        <v>45914</v>
      </c>
      <c r="D466" s="5" t="s">
        <v>26</v>
      </c>
      <c r="E466" s="7" t="n">
        <v>337983</v>
      </c>
      <c r="F466" s="7" t="n">
        <v>146786</v>
      </c>
      <c r="G466" s="7" t="n">
        <v>16597</v>
      </c>
      <c r="H466" s="7" t="n">
        <v>3627</v>
      </c>
      <c r="I466" s="7" t="n">
        <v>6567</v>
      </c>
      <c r="J466" s="8" t="n">
        <v>18.25</v>
      </c>
      <c r="K466" s="9" t="n">
        <f aca="false">(G466+H466+I466)/E466</f>
        <v>0.0792673004263528</v>
      </c>
    </row>
    <row r="467" customFormat="false" ht="14.25" hidden="false" customHeight="true" outlineLevel="0" collapsed="false">
      <c r="A467" s="5" t="s">
        <v>491</v>
      </c>
      <c r="B467" s="5" t="s">
        <v>25</v>
      </c>
      <c r="C467" s="6" t="n">
        <v>45339</v>
      </c>
      <c r="D467" s="5" t="s">
        <v>26</v>
      </c>
      <c r="E467" s="7" t="n">
        <v>164695</v>
      </c>
      <c r="F467" s="7" t="n">
        <v>90796</v>
      </c>
      <c r="G467" s="7" t="n">
        <v>6004</v>
      </c>
      <c r="H467" s="7" t="n">
        <v>651</v>
      </c>
      <c r="I467" s="7" t="n">
        <v>3479</v>
      </c>
      <c r="J467" s="8" t="n">
        <v>11.16</v>
      </c>
      <c r="K467" s="9" t="n">
        <f aca="false">(G467+H467+I467)/E467</f>
        <v>0.061531922644889</v>
      </c>
    </row>
    <row r="468" customFormat="false" ht="14.25" hidden="false" customHeight="true" outlineLevel="0" collapsed="false">
      <c r="A468" s="5" t="s">
        <v>492</v>
      </c>
      <c r="B468" s="5" t="s">
        <v>33</v>
      </c>
      <c r="C468" s="6" t="n">
        <v>45337</v>
      </c>
      <c r="D468" s="5" t="s">
        <v>28</v>
      </c>
      <c r="E468" s="7" t="n">
        <v>16374</v>
      </c>
      <c r="F468" s="7" t="n">
        <v>12880</v>
      </c>
      <c r="G468" s="7" t="n">
        <v>274</v>
      </c>
      <c r="H468" s="7" t="n">
        <v>145</v>
      </c>
      <c r="I468" s="7" t="n">
        <v>63</v>
      </c>
      <c r="J468" s="8" t="n">
        <v>3.74</v>
      </c>
      <c r="K468" s="9" t="n">
        <f aca="false">(G468+H468+I468)/E468</f>
        <v>0.0294369121778429</v>
      </c>
    </row>
    <row r="469" customFormat="false" ht="14.25" hidden="false" customHeight="true" outlineLevel="0" collapsed="false">
      <c r="A469" s="5" t="s">
        <v>493</v>
      </c>
      <c r="B469" s="5" t="s">
        <v>25</v>
      </c>
      <c r="C469" s="6" t="n">
        <v>45346</v>
      </c>
      <c r="D469" s="5" t="s">
        <v>23</v>
      </c>
      <c r="E469" s="7" t="n">
        <v>459458</v>
      </c>
      <c r="F469" s="7" t="n">
        <v>319894</v>
      </c>
      <c r="G469" s="7" t="n">
        <v>38021</v>
      </c>
      <c r="H469" s="7" t="n">
        <v>7712</v>
      </c>
      <c r="I469" s="7" t="n">
        <v>11817</v>
      </c>
      <c r="J469" s="8" t="n">
        <v>17.99</v>
      </c>
      <c r="K469" s="9" t="n">
        <f aca="false">(G469+H469+I469)/E469</f>
        <v>0.125256280225831</v>
      </c>
    </row>
    <row r="470" customFormat="false" ht="14.25" hidden="false" customHeight="true" outlineLevel="0" collapsed="false">
      <c r="A470" s="5" t="s">
        <v>494</v>
      </c>
      <c r="B470" s="5" t="s">
        <v>14</v>
      </c>
      <c r="C470" s="6" t="n">
        <v>45894</v>
      </c>
      <c r="D470" s="5" t="s">
        <v>19</v>
      </c>
      <c r="E470" s="7" t="n">
        <v>16448</v>
      </c>
      <c r="F470" s="7" t="n">
        <v>7957</v>
      </c>
      <c r="G470" s="7" t="n">
        <v>185</v>
      </c>
      <c r="H470" s="7" t="n">
        <v>107</v>
      </c>
      <c r="I470" s="7" t="n">
        <v>133</v>
      </c>
      <c r="J470" s="8" t="n">
        <v>5.34</v>
      </c>
      <c r="K470" s="9" t="n">
        <f aca="false">(G470+H470+I470)/E470</f>
        <v>0.0258390077821012</v>
      </c>
    </row>
    <row r="471" customFormat="false" ht="14.25" hidden="false" customHeight="true" outlineLevel="0" collapsed="false">
      <c r="A471" s="5" t="s">
        <v>495</v>
      </c>
      <c r="B471" s="5" t="s">
        <v>33</v>
      </c>
      <c r="C471" s="6" t="n">
        <v>45785</v>
      </c>
      <c r="D471" s="5" t="s">
        <v>15</v>
      </c>
      <c r="E471" s="7" t="n">
        <v>7337</v>
      </c>
      <c r="F471" s="7" t="n">
        <v>5366</v>
      </c>
      <c r="G471" s="7" t="n">
        <v>81</v>
      </c>
      <c r="H471" s="7" t="n">
        <v>112</v>
      </c>
      <c r="I471" s="7" t="n">
        <v>59</v>
      </c>
      <c r="J471" s="8" t="n">
        <v>4.7</v>
      </c>
      <c r="K471" s="9" t="n">
        <f aca="false">(G471+H471+I471)/E471</f>
        <v>0.0343464631320703</v>
      </c>
    </row>
    <row r="472" customFormat="false" ht="14.25" hidden="false" customHeight="true" outlineLevel="0" collapsed="false">
      <c r="A472" s="5" t="s">
        <v>496</v>
      </c>
      <c r="B472" s="5" t="s">
        <v>22</v>
      </c>
      <c r="C472" s="6" t="n">
        <v>45371</v>
      </c>
      <c r="D472" s="5" t="s">
        <v>15</v>
      </c>
      <c r="E472" s="7" t="n">
        <v>18681</v>
      </c>
      <c r="F472" s="7" t="n">
        <v>13036</v>
      </c>
      <c r="G472" s="7" t="n">
        <v>151</v>
      </c>
      <c r="H472" s="7" t="n">
        <v>52</v>
      </c>
      <c r="I472" s="7" t="n">
        <v>160</v>
      </c>
      <c r="J472" s="8" t="n">
        <v>2.78</v>
      </c>
      <c r="K472" s="9" t="n">
        <f aca="false">(G472+H472+I472)/E472</f>
        <v>0.0194315079492533</v>
      </c>
    </row>
    <row r="473" customFormat="false" ht="14.25" hidden="false" customHeight="true" outlineLevel="0" collapsed="false">
      <c r="A473" s="5" t="s">
        <v>497</v>
      </c>
      <c r="B473" s="5" t="s">
        <v>22</v>
      </c>
      <c r="C473" s="6" t="n">
        <v>45525</v>
      </c>
      <c r="D473" s="5" t="s">
        <v>23</v>
      </c>
      <c r="E473" s="7" t="n">
        <v>37918</v>
      </c>
      <c r="F473" s="7" t="n">
        <v>24272</v>
      </c>
      <c r="G473" s="7" t="n">
        <v>469</v>
      </c>
      <c r="H473" s="7" t="n">
        <v>158</v>
      </c>
      <c r="I473" s="7" t="n">
        <v>465</v>
      </c>
      <c r="J473" s="8" t="n">
        <v>4.5</v>
      </c>
      <c r="K473" s="9" t="n">
        <f aca="false">(G473+H473+I473)/E473</f>
        <v>0.0287989872883591</v>
      </c>
    </row>
    <row r="474" customFormat="false" ht="14.25" hidden="false" customHeight="true" outlineLevel="0" collapsed="false">
      <c r="A474" s="5" t="s">
        <v>498</v>
      </c>
      <c r="B474" s="5" t="s">
        <v>22</v>
      </c>
      <c r="C474" s="6" t="n">
        <v>45376</v>
      </c>
      <c r="D474" s="5" t="s">
        <v>23</v>
      </c>
      <c r="E474" s="7" t="n">
        <v>31283</v>
      </c>
      <c r="F474" s="7" t="n">
        <v>21876</v>
      </c>
      <c r="G474" s="7" t="n">
        <v>129</v>
      </c>
      <c r="H474" s="7" t="n">
        <v>114</v>
      </c>
      <c r="I474" s="7" t="n">
        <v>253</v>
      </c>
      <c r="J474" s="8" t="n">
        <v>2.27</v>
      </c>
      <c r="K474" s="9" t="n">
        <f aca="false">(G474+H474+I474)/E474</f>
        <v>0.0158552568487677</v>
      </c>
    </row>
    <row r="475" customFormat="false" ht="14.25" hidden="false" customHeight="true" outlineLevel="0" collapsed="false">
      <c r="A475" s="5" t="s">
        <v>499</v>
      </c>
      <c r="B475" s="5" t="s">
        <v>25</v>
      </c>
      <c r="C475" s="6" t="n">
        <v>45428</v>
      </c>
      <c r="D475" s="5" t="s">
        <v>26</v>
      </c>
      <c r="E475" s="7" t="n">
        <v>339247</v>
      </c>
      <c r="F475" s="7" t="n">
        <v>113189</v>
      </c>
      <c r="G475" s="7" t="n">
        <v>7464</v>
      </c>
      <c r="H475" s="7" t="n">
        <v>3146</v>
      </c>
      <c r="I475" s="7" t="n">
        <v>4182</v>
      </c>
      <c r="J475" s="8" t="n">
        <v>13.07</v>
      </c>
      <c r="K475" s="9" t="n">
        <f aca="false">(G475+H475+I475)/E475</f>
        <v>0.0436024489531227</v>
      </c>
    </row>
    <row r="476" customFormat="false" ht="14.25" hidden="false" customHeight="true" outlineLevel="0" collapsed="false">
      <c r="A476" s="5" t="s">
        <v>500</v>
      </c>
      <c r="B476" s="5" t="s">
        <v>18</v>
      </c>
      <c r="C476" s="6" t="n">
        <v>45478</v>
      </c>
      <c r="D476" s="5" t="s">
        <v>19</v>
      </c>
      <c r="E476" s="7" t="n">
        <v>8981</v>
      </c>
      <c r="F476" s="7" t="n">
        <v>3952</v>
      </c>
      <c r="G476" s="7" t="n">
        <v>155</v>
      </c>
      <c r="H476" s="7" t="n">
        <v>56</v>
      </c>
      <c r="I476" s="7" t="n">
        <v>27</v>
      </c>
      <c r="J476" s="8" t="n">
        <v>6.02</v>
      </c>
      <c r="K476" s="9" t="n">
        <f aca="false">(G476+H476+I476)/E476</f>
        <v>0.0265003897116134</v>
      </c>
    </row>
    <row r="477" customFormat="false" ht="14.25" hidden="false" customHeight="true" outlineLevel="0" collapsed="false">
      <c r="A477" s="5" t="s">
        <v>501</v>
      </c>
      <c r="B477" s="5" t="s">
        <v>22</v>
      </c>
      <c r="C477" s="6" t="n">
        <v>45573</v>
      </c>
      <c r="D477" s="5" t="s">
        <v>19</v>
      </c>
      <c r="E477" s="7" t="n">
        <v>21302</v>
      </c>
      <c r="F477" s="7" t="n">
        <v>13074</v>
      </c>
      <c r="G477" s="7" t="n">
        <v>295</v>
      </c>
      <c r="H477" s="7" t="n">
        <v>26</v>
      </c>
      <c r="I477" s="7" t="n">
        <v>71</v>
      </c>
      <c r="J477" s="8" t="n">
        <v>3</v>
      </c>
      <c r="K477" s="9" t="n">
        <f aca="false">(G477+H477+I477)/E477</f>
        <v>0.0184020279785936</v>
      </c>
    </row>
    <row r="478" customFormat="false" ht="14.25" hidden="false" customHeight="true" outlineLevel="0" collapsed="false">
      <c r="A478" s="5" t="s">
        <v>502</v>
      </c>
      <c r="B478" s="5" t="s">
        <v>18</v>
      </c>
      <c r="C478" s="6" t="n">
        <v>45563</v>
      </c>
      <c r="D478" s="5" t="s">
        <v>28</v>
      </c>
      <c r="E478" s="7" t="n">
        <v>69216</v>
      </c>
      <c r="F478" s="7" t="n">
        <v>42538</v>
      </c>
      <c r="G478" s="7" t="n">
        <v>1645</v>
      </c>
      <c r="H478" s="7" t="n">
        <v>611</v>
      </c>
      <c r="I478" s="7" t="n">
        <v>409</v>
      </c>
      <c r="J478" s="8" t="n">
        <v>6.26</v>
      </c>
      <c r="K478" s="9" t="n">
        <f aca="false">(G478+H478+I478)/E478</f>
        <v>0.0385026583448914</v>
      </c>
    </row>
    <row r="479" customFormat="false" ht="14.25" hidden="false" customHeight="true" outlineLevel="0" collapsed="false">
      <c r="A479" s="5" t="s">
        <v>503</v>
      </c>
      <c r="B479" s="5" t="s">
        <v>18</v>
      </c>
      <c r="C479" s="6" t="n">
        <v>45674</v>
      </c>
      <c r="D479" s="5" t="s">
        <v>26</v>
      </c>
      <c r="E479" s="7" t="n">
        <v>71167</v>
      </c>
      <c r="F479" s="7" t="n">
        <v>40636</v>
      </c>
      <c r="G479" s="7" t="n">
        <v>2428</v>
      </c>
      <c r="H479" s="7" t="n">
        <v>337</v>
      </c>
      <c r="I479" s="7" t="n">
        <v>81</v>
      </c>
      <c r="J479" s="8" t="n">
        <v>7</v>
      </c>
      <c r="K479" s="9" t="n">
        <f aca="false">(G479+H479+I479)/E479</f>
        <v>0.0399904450096252</v>
      </c>
    </row>
    <row r="480" customFormat="false" ht="14.25" hidden="false" customHeight="true" outlineLevel="0" collapsed="false">
      <c r="A480" s="5" t="s">
        <v>504</v>
      </c>
      <c r="B480" s="5" t="s">
        <v>33</v>
      </c>
      <c r="C480" s="6" t="n">
        <v>45626</v>
      </c>
      <c r="D480" s="5" t="s">
        <v>19</v>
      </c>
      <c r="E480" s="7" t="n">
        <v>4580</v>
      </c>
      <c r="F480" s="7" t="n">
        <v>2488</v>
      </c>
      <c r="G480" s="7" t="n">
        <v>77</v>
      </c>
      <c r="H480" s="7" t="n">
        <v>21</v>
      </c>
      <c r="I480" s="7" t="n">
        <v>30</v>
      </c>
      <c r="J480" s="8" t="n">
        <v>5.14</v>
      </c>
      <c r="K480" s="9" t="n">
        <f aca="false">(G480+H480+I480)/E480</f>
        <v>0.0279475982532751</v>
      </c>
    </row>
    <row r="481" customFormat="false" ht="14.25" hidden="false" customHeight="true" outlineLevel="0" collapsed="false">
      <c r="A481" s="5" t="s">
        <v>505</v>
      </c>
      <c r="B481" s="5" t="s">
        <v>18</v>
      </c>
      <c r="C481" s="6" t="n">
        <v>45538</v>
      </c>
      <c r="D481" s="5" t="s">
        <v>28</v>
      </c>
      <c r="E481" s="7" t="n">
        <v>25003</v>
      </c>
      <c r="F481" s="7" t="n">
        <v>12041</v>
      </c>
      <c r="G481" s="7" t="n">
        <v>780</v>
      </c>
      <c r="H481" s="7" t="n">
        <v>113</v>
      </c>
      <c r="I481" s="7" t="n">
        <v>55</v>
      </c>
      <c r="J481" s="8" t="n">
        <v>7.87</v>
      </c>
      <c r="K481" s="9" t="n">
        <f aca="false">(G481+H481+I481)/E481</f>
        <v>0.0379154501459825</v>
      </c>
    </row>
    <row r="482" customFormat="false" ht="14.25" hidden="false" customHeight="true" outlineLevel="0" collapsed="false">
      <c r="A482" s="5" t="s">
        <v>506</v>
      </c>
      <c r="B482" s="5" t="s">
        <v>18</v>
      </c>
      <c r="C482" s="6" t="n">
        <v>45547</v>
      </c>
      <c r="D482" s="5" t="s">
        <v>28</v>
      </c>
      <c r="E482" s="7" t="n">
        <v>69409</v>
      </c>
      <c r="F482" s="7" t="n">
        <v>29566</v>
      </c>
      <c r="G482" s="7" t="n">
        <v>1523</v>
      </c>
      <c r="H482" s="7" t="n">
        <v>290</v>
      </c>
      <c r="I482" s="7" t="n">
        <v>165</v>
      </c>
      <c r="J482" s="8" t="n">
        <v>6.69</v>
      </c>
      <c r="K482" s="9" t="n">
        <f aca="false">(G482+H482+I482)/E482</f>
        <v>0.0284977452491752</v>
      </c>
    </row>
    <row r="483" customFormat="false" ht="14.25" hidden="false" customHeight="true" outlineLevel="0" collapsed="false">
      <c r="A483" s="5" t="s">
        <v>507</v>
      </c>
      <c r="B483" s="5" t="s">
        <v>18</v>
      </c>
      <c r="C483" s="6" t="n">
        <v>45966</v>
      </c>
      <c r="D483" s="5" t="s">
        <v>26</v>
      </c>
      <c r="E483" s="7" t="n">
        <v>85888</v>
      </c>
      <c r="F483" s="7" t="n">
        <v>52026</v>
      </c>
      <c r="G483" s="7" t="n">
        <v>2347</v>
      </c>
      <c r="H483" s="7" t="n">
        <v>624</v>
      </c>
      <c r="I483" s="7" t="n">
        <v>135</v>
      </c>
      <c r="J483" s="8" t="n">
        <v>5.97</v>
      </c>
      <c r="K483" s="9" t="n">
        <f aca="false">(G483+H483+I483)/E483</f>
        <v>0.0361633755588674</v>
      </c>
    </row>
    <row r="484" customFormat="false" ht="14.25" hidden="false" customHeight="true" outlineLevel="0" collapsed="false">
      <c r="A484" s="5" t="s">
        <v>508</v>
      </c>
      <c r="B484" s="5" t="s">
        <v>18</v>
      </c>
      <c r="C484" s="6" t="n">
        <v>46002</v>
      </c>
      <c r="D484" s="5" t="s">
        <v>28</v>
      </c>
      <c r="E484" s="7" t="n">
        <v>60250</v>
      </c>
      <c r="F484" s="7" t="n">
        <v>31771</v>
      </c>
      <c r="G484" s="7" t="n">
        <v>1907</v>
      </c>
      <c r="H484" s="7" t="n">
        <v>219</v>
      </c>
      <c r="I484" s="7" t="n">
        <v>79</v>
      </c>
      <c r="J484" s="8" t="n">
        <v>6.94</v>
      </c>
      <c r="K484" s="9" t="n">
        <f aca="false">(G484+H484+I484)/E484</f>
        <v>0.036597510373444</v>
      </c>
    </row>
    <row r="485" customFormat="false" ht="14.25" hidden="false" customHeight="true" outlineLevel="0" collapsed="false">
      <c r="A485" s="5" t="s">
        <v>509</v>
      </c>
      <c r="B485" s="5" t="s">
        <v>22</v>
      </c>
      <c r="C485" s="6" t="n">
        <v>45317</v>
      </c>
      <c r="D485" s="5" t="s">
        <v>15</v>
      </c>
      <c r="E485" s="7" t="n">
        <v>11412</v>
      </c>
      <c r="F485" s="7" t="n">
        <v>7912</v>
      </c>
      <c r="G485" s="7" t="n">
        <v>117</v>
      </c>
      <c r="H485" s="7" t="n">
        <v>23</v>
      </c>
      <c r="I485" s="7" t="n">
        <v>153</v>
      </c>
      <c r="J485" s="8" t="n">
        <v>3.7</v>
      </c>
      <c r="K485" s="9" t="n">
        <f aca="false">(G485+H485+I485)/E485</f>
        <v>0.0256747283561164</v>
      </c>
    </row>
    <row r="486" customFormat="false" ht="14.25" hidden="false" customHeight="true" outlineLevel="0" collapsed="false">
      <c r="A486" s="5" t="s">
        <v>510</v>
      </c>
      <c r="B486" s="5" t="s">
        <v>18</v>
      </c>
      <c r="C486" s="6" t="n">
        <v>45994</v>
      </c>
      <c r="D486" s="5" t="s">
        <v>19</v>
      </c>
      <c r="E486" s="7" t="n">
        <v>8581</v>
      </c>
      <c r="F486" s="7" t="n">
        <v>5323</v>
      </c>
      <c r="G486" s="7" t="n">
        <v>190</v>
      </c>
      <c r="H486" s="7" t="n">
        <v>14</v>
      </c>
      <c r="I486" s="7" t="n">
        <v>9</v>
      </c>
      <c r="J486" s="8" t="n">
        <v>4</v>
      </c>
      <c r="K486" s="9" t="n">
        <f aca="false">(G486+H486+I486)/E486</f>
        <v>0.0248222817853397</v>
      </c>
    </row>
    <row r="487" customFormat="false" ht="14.25" hidden="false" customHeight="true" outlineLevel="0" collapsed="false">
      <c r="A487" s="5" t="s">
        <v>511</v>
      </c>
      <c r="B487" s="5" t="s">
        <v>25</v>
      </c>
      <c r="C487" s="6" t="n">
        <v>45510</v>
      </c>
      <c r="D487" s="5" t="s">
        <v>26</v>
      </c>
      <c r="E487" s="7" t="n">
        <v>87881</v>
      </c>
      <c r="F487" s="7" t="n">
        <v>60405</v>
      </c>
      <c r="G487" s="7" t="n">
        <v>4517</v>
      </c>
      <c r="H487" s="7" t="n">
        <v>667</v>
      </c>
      <c r="I487" s="7" t="n">
        <v>1550</v>
      </c>
      <c r="J487" s="8" t="n">
        <v>11.15</v>
      </c>
      <c r="K487" s="9" t="n">
        <f aca="false">(G487+H487+I487)/E487</f>
        <v>0.076626346991955</v>
      </c>
    </row>
    <row r="488" customFormat="false" ht="14.25" hidden="false" customHeight="true" outlineLevel="0" collapsed="false">
      <c r="A488" s="5" t="s">
        <v>512</v>
      </c>
      <c r="B488" s="5" t="s">
        <v>33</v>
      </c>
      <c r="C488" s="6" t="n">
        <v>45568</v>
      </c>
      <c r="D488" s="5" t="s">
        <v>23</v>
      </c>
      <c r="E488" s="7" t="n">
        <v>15417</v>
      </c>
      <c r="F488" s="7" t="n">
        <v>8696</v>
      </c>
      <c r="G488" s="7" t="n">
        <v>290</v>
      </c>
      <c r="H488" s="7" t="n">
        <v>111</v>
      </c>
      <c r="I488" s="7" t="n">
        <v>100</v>
      </c>
      <c r="J488" s="8" t="n">
        <v>5.76</v>
      </c>
      <c r="K488" s="9" t="n">
        <f aca="false">(G488+H488+I488)/E488</f>
        <v>0.0324965946682234</v>
      </c>
    </row>
    <row r="489" customFormat="false" ht="14.25" hidden="false" customHeight="true" outlineLevel="0" collapsed="false">
      <c r="A489" s="5" t="s">
        <v>513</v>
      </c>
      <c r="B489" s="5" t="s">
        <v>25</v>
      </c>
      <c r="C489" s="6" t="n">
        <v>45564</v>
      </c>
      <c r="D489" s="5" t="s">
        <v>26</v>
      </c>
      <c r="E489" s="7" t="n">
        <v>185847</v>
      </c>
      <c r="F489" s="7" t="n">
        <v>121043</v>
      </c>
      <c r="G489" s="7" t="n">
        <v>11183</v>
      </c>
      <c r="H489" s="7" t="n">
        <v>626</v>
      </c>
      <c r="I489" s="7" t="n">
        <v>3674</v>
      </c>
      <c r="J489" s="8" t="n">
        <v>12.79</v>
      </c>
      <c r="K489" s="9" t="n">
        <f aca="false">(G489+H489+I489)/E489</f>
        <v>0.0833104650599687</v>
      </c>
    </row>
    <row r="490" customFormat="false" ht="14.25" hidden="false" customHeight="true" outlineLevel="0" collapsed="false">
      <c r="A490" s="5" t="s">
        <v>514</v>
      </c>
      <c r="B490" s="5" t="s">
        <v>33</v>
      </c>
      <c r="C490" s="6" t="n">
        <v>45606</v>
      </c>
      <c r="D490" s="5" t="s">
        <v>15</v>
      </c>
      <c r="E490" s="7" t="n">
        <v>10745</v>
      </c>
      <c r="F490" s="7" t="n">
        <v>5956</v>
      </c>
      <c r="G490" s="7" t="n">
        <v>195</v>
      </c>
      <c r="H490" s="7" t="n">
        <v>89</v>
      </c>
      <c r="I490" s="7" t="n">
        <v>28</v>
      </c>
      <c r="J490" s="8" t="n">
        <v>5.24</v>
      </c>
      <c r="K490" s="9" t="n">
        <f aca="false">(G490+H490+I490)/E490</f>
        <v>0.0290367612843183</v>
      </c>
    </row>
    <row r="491" customFormat="false" ht="14.25" hidden="false" customHeight="true" outlineLevel="0" collapsed="false">
      <c r="A491" s="5" t="s">
        <v>515</v>
      </c>
      <c r="B491" s="5" t="s">
        <v>33</v>
      </c>
      <c r="C491" s="6" t="n">
        <v>45987</v>
      </c>
      <c r="D491" s="5" t="s">
        <v>19</v>
      </c>
      <c r="E491" s="7" t="n">
        <v>6513</v>
      </c>
      <c r="F491" s="7" t="n">
        <v>3382</v>
      </c>
      <c r="G491" s="7" t="n">
        <v>114</v>
      </c>
      <c r="H491" s="7" t="n">
        <v>52</v>
      </c>
      <c r="I491" s="7" t="n">
        <v>33</v>
      </c>
      <c r="J491" s="8" t="n">
        <v>5.88</v>
      </c>
      <c r="K491" s="9" t="n">
        <f aca="false">(G491+H491+I491)/E491</f>
        <v>0.0305542760632581</v>
      </c>
    </row>
    <row r="492" customFormat="false" ht="14.25" hidden="false" customHeight="true" outlineLevel="0" collapsed="false">
      <c r="A492" s="5" t="s">
        <v>516</v>
      </c>
      <c r="B492" s="5" t="s">
        <v>25</v>
      </c>
      <c r="C492" s="6" t="n">
        <v>45876</v>
      </c>
      <c r="D492" s="5" t="s">
        <v>26</v>
      </c>
      <c r="E492" s="7" t="n">
        <v>440564</v>
      </c>
      <c r="F492" s="7" t="n">
        <v>270609</v>
      </c>
      <c r="G492" s="7" t="n">
        <v>17877</v>
      </c>
      <c r="H492" s="7" t="n">
        <v>4340</v>
      </c>
      <c r="I492" s="7" t="n">
        <v>7584</v>
      </c>
      <c r="J492" s="8" t="n">
        <v>11.01</v>
      </c>
      <c r="K492" s="9" t="n">
        <f aca="false">(G492+H492+I492)/E492</f>
        <v>0.0676428396328343</v>
      </c>
    </row>
    <row r="493" customFormat="false" ht="14.25" hidden="false" customHeight="true" outlineLevel="0" collapsed="false">
      <c r="A493" s="5" t="s">
        <v>517</v>
      </c>
      <c r="B493" s="5" t="s">
        <v>25</v>
      </c>
      <c r="C493" s="6" t="n">
        <v>45442</v>
      </c>
      <c r="D493" s="5" t="s">
        <v>23</v>
      </c>
      <c r="E493" s="7" t="n">
        <v>322006</v>
      </c>
      <c r="F493" s="7" t="n">
        <v>167484</v>
      </c>
      <c r="G493" s="7" t="n">
        <v>9198</v>
      </c>
      <c r="H493" s="7" t="n">
        <v>4109</v>
      </c>
      <c r="I493" s="7" t="n">
        <v>6734</v>
      </c>
      <c r="J493" s="8" t="n">
        <v>11.97</v>
      </c>
      <c r="K493" s="9" t="n">
        <f aca="false">(G493+H493+I493)/E493</f>
        <v>0.0622379707210425</v>
      </c>
    </row>
    <row r="494" customFormat="false" ht="14.25" hidden="false" customHeight="true" outlineLevel="0" collapsed="false">
      <c r="A494" s="5" t="s">
        <v>518</v>
      </c>
      <c r="B494" s="5" t="s">
        <v>22</v>
      </c>
      <c r="C494" s="6" t="n">
        <v>45750</v>
      </c>
      <c r="D494" s="5" t="s">
        <v>19</v>
      </c>
      <c r="E494" s="7" t="n">
        <v>10767</v>
      </c>
      <c r="F494" s="7" t="n">
        <v>6348</v>
      </c>
      <c r="G494" s="7" t="n">
        <v>127</v>
      </c>
      <c r="H494" s="7" t="n">
        <v>7</v>
      </c>
      <c r="I494" s="7" t="n">
        <v>93</v>
      </c>
      <c r="J494" s="8" t="n">
        <v>3.58</v>
      </c>
      <c r="K494" s="9" t="n">
        <f aca="false">(G494+H494+I494)/E494</f>
        <v>0.0210829386087118</v>
      </c>
    </row>
    <row r="495" customFormat="false" ht="14.25" hidden="false" customHeight="true" outlineLevel="0" collapsed="false">
      <c r="A495" s="5" t="s">
        <v>519</v>
      </c>
      <c r="B495" s="5" t="s">
        <v>14</v>
      </c>
      <c r="C495" s="6" t="n">
        <v>45811</v>
      </c>
      <c r="D495" s="5" t="s">
        <v>23</v>
      </c>
      <c r="E495" s="7" t="n">
        <v>36770</v>
      </c>
      <c r="F495" s="7" t="n">
        <v>17441</v>
      </c>
      <c r="G495" s="7" t="n">
        <v>330</v>
      </c>
      <c r="H495" s="7" t="n">
        <v>230</v>
      </c>
      <c r="I495" s="7" t="n">
        <v>269</v>
      </c>
      <c r="J495" s="8" t="n">
        <v>4.75</v>
      </c>
      <c r="K495" s="9" t="n">
        <f aca="false">(G495+H495+I495)/E495</f>
        <v>0.0225455534403046</v>
      </c>
    </row>
    <row r="496" customFormat="false" ht="14.25" hidden="false" customHeight="true" outlineLevel="0" collapsed="false">
      <c r="A496" s="5" t="s">
        <v>520</v>
      </c>
      <c r="B496" s="5" t="s">
        <v>25</v>
      </c>
      <c r="C496" s="6" t="n">
        <v>45365</v>
      </c>
      <c r="D496" s="5" t="s">
        <v>23</v>
      </c>
      <c r="E496" s="7" t="n">
        <v>38055</v>
      </c>
      <c r="F496" s="7" t="n">
        <v>20035</v>
      </c>
      <c r="G496" s="7" t="n">
        <v>1623</v>
      </c>
      <c r="H496" s="7" t="n">
        <v>390</v>
      </c>
      <c r="I496" s="7" t="n">
        <v>207</v>
      </c>
      <c r="J496" s="8" t="n">
        <v>11.08</v>
      </c>
      <c r="K496" s="9" t="n">
        <f aca="false">(G496+H496+I496)/E496</f>
        <v>0.0583366180528183</v>
      </c>
    </row>
    <row r="497" customFormat="false" ht="14.25" hidden="false" customHeight="true" outlineLevel="0" collapsed="false">
      <c r="A497" s="5" t="s">
        <v>521</v>
      </c>
      <c r="B497" s="5" t="s">
        <v>18</v>
      </c>
      <c r="C497" s="6" t="n">
        <v>45580</v>
      </c>
      <c r="D497" s="5" t="s">
        <v>28</v>
      </c>
      <c r="E497" s="7" t="n">
        <v>51958</v>
      </c>
      <c r="F497" s="7" t="n">
        <v>30967</v>
      </c>
      <c r="G497" s="7" t="n">
        <v>878</v>
      </c>
      <c r="H497" s="7" t="n">
        <v>85</v>
      </c>
      <c r="I497" s="7" t="n">
        <v>54</v>
      </c>
      <c r="J497" s="8" t="n">
        <v>3.28</v>
      </c>
      <c r="K497" s="9" t="n">
        <f aca="false">(G497+H497+I497)/E497</f>
        <v>0.0195735016744293</v>
      </c>
    </row>
    <row r="498" customFormat="false" ht="14.25" hidden="false" customHeight="true" outlineLevel="0" collapsed="false">
      <c r="A498" s="5" t="s">
        <v>522</v>
      </c>
      <c r="B498" s="5" t="s">
        <v>18</v>
      </c>
      <c r="C498" s="6" t="n">
        <v>45731</v>
      </c>
      <c r="D498" s="5" t="s">
        <v>23</v>
      </c>
      <c r="E498" s="7" t="n">
        <v>36746</v>
      </c>
      <c r="F498" s="7" t="n">
        <v>20529</v>
      </c>
      <c r="G498" s="7" t="n">
        <v>1452</v>
      </c>
      <c r="H498" s="7" t="n">
        <v>156</v>
      </c>
      <c r="I498" s="7" t="n">
        <v>124</v>
      </c>
      <c r="J498" s="8" t="n">
        <v>8.44</v>
      </c>
      <c r="K498" s="9" t="n">
        <f aca="false">(G498+H498+I498)/E498</f>
        <v>0.0471343819735481</v>
      </c>
    </row>
    <row r="499" customFormat="false" ht="14.25" hidden="false" customHeight="true" outlineLevel="0" collapsed="false">
      <c r="A499" s="5" t="s">
        <v>523</v>
      </c>
      <c r="B499" s="5" t="s">
        <v>22</v>
      </c>
      <c r="C499" s="6" t="n">
        <v>45732</v>
      </c>
      <c r="D499" s="5" t="s">
        <v>23</v>
      </c>
      <c r="E499" s="7" t="n">
        <v>12875</v>
      </c>
      <c r="F499" s="7" t="n">
        <v>7526</v>
      </c>
      <c r="G499" s="7" t="n">
        <v>69</v>
      </c>
      <c r="H499" s="7" t="n">
        <v>19</v>
      </c>
      <c r="I499" s="7" t="n">
        <v>40</v>
      </c>
      <c r="J499" s="8" t="n">
        <v>1.7</v>
      </c>
      <c r="K499" s="9" t="n">
        <f aca="false">(G499+H499+I499)/E499</f>
        <v>0.00994174757281553</v>
      </c>
    </row>
    <row r="500" customFormat="false" ht="14.25" hidden="false" customHeight="true" outlineLevel="0" collapsed="false">
      <c r="A500" s="5" t="s">
        <v>524</v>
      </c>
      <c r="B500" s="5" t="s">
        <v>14</v>
      </c>
      <c r="C500" s="6" t="n">
        <v>45561</v>
      </c>
      <c r="D500" s="5" t="s">
        <v>23</v>
      </c>
      <c r="E500" s="7" t="n">
        <v>29909</v>
      </c>
      <c r="F500" s="7" t="n">
        <v>10936</v>
      </c>
      <c r="G500" s="7" t="n">
        <v>270</v>
      </c>
      <c r="H500" s="7" t="n">
        <v>106</v>
      </c>
      <c r="I500" s="7" t="n">
        <v>175</v>
      </c>
      <c r="J500" s="8" t="n">
        <v>5.04</v>
      </c>
      <c r="K500" s="9" t="n">
        <f aca="false">(G500+H500+I500)/E500</f>
        <v>0.0184225483968036</v>
      </c>
    </row>
    <row r="501" customFormat="false" ht="14.25" hidden="false" customHeight="true" outlineLevel="0" collapsed="false">
      <c r="A501" s="5" t="s">
        <v>525</v>
      </c>
      <c r="B501" s="5" t="s">
        <v>25</v>
      </c>
      <c r="C501" s="6" t="n">
        <v>45332</v>
      </c>
      <c r="D501" s="5" t="s">
        <v>26</v>
      </c>
      <c r="E501" s="7" t="n">
        <v>41256</v>
      </c>
      <c r="F501" s="7" t="n">
        <v>26399</v>
      </c>
      <c r="G501" s="7" t="n">
        <v>2930</v>
      </c>
      <c r="H501" s="7" t="n">
        <v>619</v>
      </c>
      <c r="I501" s="7" t="n">
        <v>480</v>
      </c>
      <c r="J501" s="8" t="n">
        <v>15.26</v>
      </c>
      <c r="K501" s="9" t="n">
        <f aca="false">(G501+H501+I501)/E501</f>
        <v>0.0976585223967423</v>
      </c>
    </row>
    <row r="502" customFormat="false" ht="14.25" hidden="false" customHeight="true" outlineLevel="0" collapsed="false">
      <c r="A502" s="5" t="s">
        <v>526</v>
      </c>
      <c r="B502" s="5" t="s">
        <v>33</v>
      </c>
      <c r="C502" s="6" t="n">
        <v>45733</v>
      </c>
      <c r="D502" s="5" t="s">
        <v>28</v>
      </c>
      <c r="E502" s="7" t="n">
        <v>9610</v>
      </c>
      <c r="F502" s="7" t="n">
        <v>7236</v>
      </c>
      <c r="G502" s="7" t="n">
        <v>115</v>
      </c>
      <c r="H502" s="7" t="n">
        <v>116</v>
      </c>
      <c r="I502" s="7" t="n">
        <v>68</v>
      </c>
      <c r="J502" s="8" t="n">
        <v>4.13</v>
      </c>
      <c r="K502" s="9" t="n">
        <f aca="false">(G502+H502+I502)/E502</f>
        <v>0.0311134235171696</v>
      </c>
    </row>
    <row r="503" customFormat="false" ht="14.25" hidden="false" customHeight="true" outlineLevel="0" collapsed="false">
      <c r="A503" s="5" t="s">
        <v>527</v>
      </c>
      <c r="B503" s="5" t="s">
        <v>22</v>
      </c>
      <c r="C503" s="6" t="n">
        <v>45667</v>
      </c>
      <c r="D503" s="5" t="s">
        <v>19</v>
      </c>
      <c r="E503" s="7" t="n">
        <v>3755</v>
      </c>
      <c r="F503" s="7" t="n">
        <v>2372</v>
      </c>
      <c r="G503" s="7" t="n">
        <v>62</v>
      </c>
      <c r="H503" s="7" t="n">
        <v>6</v>
      </c>
      <c r="I503" s="7" t="n">
        <v>5</v>
      </c>
      <c r="J503" s="8" t="n">
        <v>3.08</v>
      </c>
      <c r="K503" s="9" t="n">
        <f aca="false">(G503+H503+I503)/E503</f>
        <v>0.0194407456724368</v>
      </c>
    </row>
    <row r="504" customFormat="false" ht="14.25" hidden="false" customHeight="true" outlineLevel="0" collapsed="false">
      <c r="A504" s="5" t="s">
        <v>528</v>
      </c>
      <c r="B504" s="5" t="s">
        <v>33</v>
      </c>
      <c r="C504" s="6" t="n">
        <v>45765</v>
      </c>
      <c r="D504" s="5" t="s">
        <v>23</v>
      </c>
      <c r="E504" s="7" t="n">
        <v>38598</v>
      </c>
      <c r="F504" s="7" t="n">
        <v>19145</v>
      </c>
      <c r="G504" s="7" t="n">
        <v>389</v>
      </c>
      <c r="H504" s="7" t="n">
        <v>219</v>
      </c>
      <c r="I504" s="7" t="n">
        <v>243</v>
      </c>
      <c r="J504" s="8" t="n">
        <v>4.45</v>
      </c>
      <c r="K504" s="9" t="n">
        <f aca="false">(G504+H504+I504)/E504</f>
        <v>0.0220477744960879</v>
      </c>
    </row>
    <row r="505" customFormat="false" ht="14.25" hidden="false" customHeight="true" outlineLevel="0" collapsed="false">
      <c r="A505" s="5" t="s">
        <v>529</v>
      </c>
      <c r="B505" s="5" t="s">
        <v>33</v>
      </c>
      <c r="C505" s="6" t="n">
        <v>45705</v>
      </c>
      <c r="D505" s="5" t="s">
        <v>19</v>
      </c>
      <c r="E505" s="7" t="n">
        <v>10726</v>
      </c>
      <c r="F505" s="7" t="n">
        <v>6896</v>
      </c>
      <c r="G505" s="7" t="n">
        <v>193</v>
      </c>
      <c r="H505" s="7" t="n">
        <v>102</v>
      </c>
      <c r="I505" s="7" t="n">
        <v>93</v>
      </c>
      <c r="J505" s="8" t="n">
        <v>5.63</v>
      </c>
      <c r="K505" s="9" t="n">
        <f aca="false">(G505+H505+I505)/E505</f>
        <v>0.0361737833302256</v>
      </c>
    </row>
    <row r="506" customFormat="false" ht="14.25" hidden="false" customHeight="true" outlineLevel="0" collapsed="false">
      <c r="A506" s="5" t="s">
        <v>530</v>
      </c>
      <c r="B506" s="5" t="s">
        <v>14</v>
      </c>
      <c r="C506" s="6" t="n">
        <v>45793</v>
      </c>
      <c r="D506" s="5" t="s">
        <v>28</v>
      </c>
      <c r="E506" s="7" t="n">
        <v>37289</v>
      </c>
      <c r="F506" s="7" t="n">
        <v>16958</v>
      </c>
      <c r="G506" s="7" t="n">
        <v>800</v>
      </c>
      <c r="H506" s="7" t="n">
        <v>75</v>
      </c>
      <c r="I506" s="7" t="n">
        <v>162</v>
      </c>
      <c r="J506" s="8" t="n">
        <v>6.12</v>
      </c>
      <c r="K506" s="9" t="n">
        <f aca="false">(G506+H506+I506)/E506</f>
        <v>0.0278098098634986</v>
      </c>
    </row>
    <row r="507" customFormat="false" ht="14.25" hidden="false" customHeight="true" outlineLevel="0" collapsed="false">
      <c r="A507" s="5" t="s">
        <v>531</v>
      </c>
      <c r="B507" s="5" t="s">
        <v>33</v>
      </c>
      <c r="C507" s="6" t="n">
        <v>45480</v>
      </c>
      <c r="D507" s="5" t="s">
        <v>23</v>
      </c>
      <c r="E507" s="7" t="n">
        <v>20670</v>
      </c>
      <c r="F507" s="7" t="n">
        <v>15492</v>
      </c>
      <c r="G507" s="7" t="n">
        <v>592</v>
      </c>
      <c r="H507" s="7" t="n">
        <v>292</v>
      </c>
      <c r="I507" s="7" t="n">
        <v>224</v>
      </c>
      <c r="J507" s="8" t="n">
        <v>7.15</v>
      </c>
      <c r="K507" s="9" t="n">
        <f aca="false">(G507+H507+I507)/E507</f>
        <v>0.0536042573778423</v>
      </c>
    </row>
    <row r="508" customFormat="false" ht="14.25" hidden="false" customHeight="true" outlineLevel="0" collapsed="false">
      <c r="A508" s="5" t="s">
        <v>532</v>
      </c>
      <c r="B508" s="5" t="s">
        <v>14</v>
      </c>
      <c r="C508" s="6" t="n">
        <v>45605</v>
      </c>
      <c r="D508" s="5" t="s">
        <v>23</v>
      </c>
      <c r="E508" s="7" t="n">
        <v>30297</v>
      </c>
      <c r="F508" s="7" t="n">
        <v>12985</v>
      </c>
      <c r="G508" s="7" t="n">
        <v>141</v>
      </c>
      <c r="H508" s="7" t="n">
        <v>45</v>
      </c>
      <c r="I508" s="7" t="n">
        <v>217</v>
      </c>
      <c r="J508" s="8" t="n">
        <v>3.1</v>
      </c>
      <c r="K508" s="9" t="n">
        <f aca="false">(G508+H508+I508)/E508</f>
        <v>0.0133016470277585</v>
      </c>
    </row>
    <row r="509" customFormat="false" ht="14.25" hidden="false" customHeight="true" outlineLevel="0" collapsed="false">
      <c r="A509" s="5" t="s">
        <v>533</v>
      </c>
      <c r="B509" s="5" t="s">
        <v>18</v>
      </c>
      <c r="C509" s="6" t="n">
        <v>45912</v>
      </c>
      <c r="D509" s="5" t="s">
        <v>28</v>
      </c>
      <c r="E509" s="7" t="n">
        <v>34183</v>
      </c>
      <c r="F509" s="7" t="n">
        <v>19575</v>
      </c>
      <c r="G509" s="7" t="n">
        <v>1510</v>
      </c>
      <c r="H509" s="7" t="n">
        <v>101</v>
      </c>
      <c r="I509" s="7" t="n">
        <v>112</v>
      </c>
      <c r="J509" s="8" t="n">
        <v>8.8</v>
      </c>
      <c r="K509" s="9" t="n">
        <f aca="false">(G509+H509+I509)/E509</f>
        <v>0.0504051721616008</v>
      </c>
    </row>
    <row r="510" customFormat="false" ht="14.25" hidden="false" customHeight="true" outlineLevel="0" collapsed="false">
      <c r="A510" s="5" t="s">
        <v>534</v>
      </c>
      <c r="B510" s="5" t="s">
        <v>18</v>
      </c>
      <c r="C510" s="6" t="n">
        <v>46019</v>
      </c>
      <c r="D510" s="5" t="s">
        <v>19</v>
      </c>
      <c r="E510" s="7" t="n">
        <v>44261</v>
      </c>
      <c r="F510" s="7" t="n">
        <v>21082</v>
      </c>
      <c r="G510" s="7" t="n">
        <v>1483</v>
      </c>
      <c r="H510" s="7" t="n">
        <v>251</v>
      </c>
      <c r="I510" s="7" t="n">
        <v>161</v>
      </c>
      <c r="J510" s="8" t="n">
        <v>8.99</v>
      </c>
      <c r="K510" s="9" t="n">
        <f aca="false">(G510+H510+I510)/E510</f>
        <v>0.0428142156751994</v>
      </c>
    </row>
    <row r="511" customFormat="false" ht="14.25" hidden="false" customHeight="true" outlineLevel="0" collapsed="false">
      <c r="A511" s="5" t="s">
        <v>535</v>
      </c>
      <c r="B511" s="5" t="s">
        <v>14</v>
      </c>
      <c r="C511" s="6" t="n">
        <v>45926</v>
      </c>
      <c r="D511" s="5" t="s">
        <v>23</v>
      </c>
      <c r="E511" s="7" t="n">
        <v>57188</v>
      </c>
      <c r="F511" s="7" t="n">
        <v>26556</v>
      </c>
      <c r="G511" s="7" t="n">
        <v>923</v>
      </c>
      <c r="H511" s="7" t="n">
        <v>355</v>
      </c>
      <c r="I511" s="7" t="n">
        <v>613</v>
      </c>
      <c r="J511" s="8" t="n">
        <v>7.12</v>
      </c>
      <c r="K511" s="9" t="n">
        <f aca="false">(G511+H511+I511)/E511</f>
        <v>0.0330663775617262</v>
      </c>
    </row>
    <row r="512" customFormat="false" ht="14.25" hidden="false" customHeight="true" outlineLevel="0" collapsed="false">
      <c r="A512" s="5" t="s">
        <v>536</v>
      </c>
      <c r="B512" s="5" t="s">
        <v>18</v>
      </c>
      <c r="C512" s="6" t="n">
        <v>45820</v>
      </c>
      <c r="D512" s="5" t="s">
        <v>19</v>
      </c>
      <c r="E512" s="7" t="n">
        <v>18096</v>
      </c>
      <c r="F512" s="7" t="n">
        <v>11803</v>
      </c>
      <c r="G512" s="7" t="n">
        <v>328</v>
      </c>
      <c r="H512" s="7" t="n">
        <v>41</v>
      </c>
      <c r="I512" s="7" t="n">
        <v>25</v>
      </c>
      <c r="J512" s="8" t="n">
        <v>3.34</v>
      </c>
      <c r="K512" s="9" t="n">
        <f aca="false">(G512+H512+I512)/E512</f>
        <v>0.0217727674624226</v>
      </c>
    </row>
    <row r="513" customFormat="false" ht="14.25" hidden="false" customHeight="true" outlineLevel="0" collapsed="false">
      <c r="A513" s="5" t="s">
        <v>537</v>
      </c>
      <c r="B513" s="5" t="s">
        <v>22</v>
      </c>
      <c r="C513" s="6" t="n">
        <v>45761</v>
      </c>
      <c r="D513" s="5" t="s">
        <v>23</v>
      </c>
      <c r="E513" s="7" t="n">
        <v>24711</v>
      </c>
      <c r="F513" s="7" t="n">
        <v>15214</v>
      </c>
      <c r="G513" s="7" t="n">
        <v>386</v>
      </c>
      <c r="H513" s="7" t="n">
        <v>35</v>
      </c>
      <c r="I513" s="7" t="n">
        <v>158</v>
      </c>
      <c r="J513" s="8" t="n">
        <v>3.81</v>
      </c>
      <c r="K513" s="9" t="n">
        <f aca="false">(G513+H513+I513)/E513</f>
        <v>0.0234308607502732</v>
      </c>
    </row>
    <row r="514" customFormat="false" ht="14.25" hidden="false" customHeight="true" outlineLevel="0" collapsed="false">
      <c r="A514" s="5" t="s">
        <v>538</v>
      </c>
      <c r="B514" s="5" t="s">
        <v>22</v>
      </c>
      <c r="C514" s="6" t="n">
        <v>45773</v>
      </c>
      <c r="D514" s="5" t="s">
        <v>15</v>
      </c>
      <c r="E514" s="7" t="n">
        <v>6773</v>
      </c>
      <c r="F514" s="7" t="n">
        <v>4868</v>
      </c>
      <c r="G514" s="7" t="n">
        <v>133</v>
      </c>
      <c r="H514" s="7" t="n">
        <v>13</v>
      </c>
      <c r="I514" s="7" t="n">
        <v>28</v>
      </c>
      <c r="J514" s="8" t="n">
        <v>3.57</v>
      </c>
      <c r="K514" s="9" t="n">
        <f aca="false">(G514+H514+I514)/E514</f>
        <v>0.0256902406614499</v>
      </c>
    </row>
    <row r="515" customFormat="false" ht="14.25" hidden="false" customHeight="true" outlineLevel="0" collapsed="false">
      <c r="A515" s="5" t="s">
        <v>539</v>
      </c>
      <c r="B515" s="5" t="s">
        <v>18</v>
      </c>
      <c r="C515" s="6" t="n">
        <v>45360</v>
      </c>
      <c r="D515" s="5" t="s">
        <v>19</v>
      </c>
      <c r="E515" s="7" t="n">
        <v>16541</v>
      </c>
      <c r="F515" s="7" t="n">
        <v>9250</v>
      </c>
      <c r="G515" s="7" t="n">
        <v>646</v>
      </c>
      <c r="H515" s="7" t="n">
        <v>112</v>
      </c>
      <c r="I515" s="7" t="n">
        <v>57</v>
      </c>
      <c r="J515" s="8" t="n">
        <v>8.81</v>
      </c>
      <c r="K515" s="9" t="n">
        <f aca="false">(G515+H515+I515)/E515</f>
        <v>0.0492715071640167</v>
      </c>
    </row>
    <row r="516" customFormat="false" ht="14.25" hidden="false" customHeight="true" outlineLevel="0" collapsed="false">
      <c r="A516" s="5" t="s">
        <v>540</v>
      </c>
      <c r="B516" s="5" t="s">
        <v>25</v>
      </c>
      <c r="C516" s="6" t="n">
        <v>45660</v>
      </c>
      <c r="D516" s="5" t="s">
        <v>23</v>
      </c>
      <c r="E516" s="7" t="n">
        <v>237159</v>
      </c>
      <c r="F516" s="7" t="n">
        <v>128305</v>
      </c>
      <c r="G516" s="7" t="n">
        <v>14732</v>
      </c>
      <c r="H516" s="7" t="n">
        <v>2455</v>
      </c>
      <c r="I516" s="7" t="n">
        <v>2936</v>
      </c>
      <c r="J516" s="8" t="n">
        <v>15.68</v>
      </c>
      <c r="K516" s="9" t="n">
        <f aca="false">(G516+H516+I516)/E516</f>
        <v>0.0848502481457588</v>
      </c>
    </row>
    <row r="517" customFormat="false" ht="14.25" hidden="false" customHeight="true" outlineLevel="0" collapsed="false">
      <c r="A517" s="5" t="s">
        <v>541</v>
      </c>
      <c r="B517" s="5" t="s">
        <v>18</v>
      </c>
      <c r="C517" s="6" t="n">
        <v>45732</v>
      </c>
      <c r="D517" s="5" t="s">
        <v>19</v>
      </c>
      <c r="E517" s="7" t="n">
        <v>14887</v>
      </c>
      <c r="F517" s="7" t="n">
        <v>8575</v>
      </c>
      <c r="G517" s="7" t="n">
        <v>514</v>
      </c>
      <c r="H517" s="7" t="n">
        <v>33</v>
      </c>
      <c r="I517" s="7" t="n">
        <v>64</v>
      </c>
      <c r="J517" s="8" t="n">
        <v>7.13</v>
      </c>
      <c r="K517" s="9" t="n">
        <f aca="false">(G517+H517+I517)/E517</f>
        <v>0.0410425203197421</v>
      </c>
    </row>
    <row r="518" customFormat="false" ht="14.25" hidden="false" customHeight="true" outlineLevel="0" collapsed="false">
      <c r="A518" s="5" t="s">
        <v>542</v>
      </c>
      <c r="B518" s="5" t="s">
        <v>18</v>
      </c>
      <c r="C518" s="6" t="n">
        <v>45305</v>
      </c>
      <c r="D518" s="5" t="s">
        <v>28</v>
      </c>
      <c r="E518" s="7" t="n">
        <v>11666</v>
      </c>
      <c r="F518" s="7" t="n">
        <v>8813</v>
      </c>
      <c r="G518" s="7" t="n">
        <v>694</v>
      </c>
      <c r="H518" s="7" t="n">
        <v>84</v>
      </c>
      <c r="I518" s="7" t="n">
        <v>32</v>
      </c>
      <c r="J518" s="8" t="n">
        <v>9.19</v>
      </c>
      <c r="K518" s="9" t="n">
        <f aca="false">(G518+H518+I518)/E518</f>
        <v>0.0694325390022287</v>
      </c>
    </row>
    <row r="519" customFormat="false" ht="14.25" hidden="false" customHeight="true" outlineLevel="0" collapsed="false">
      <c r="A519" s="5" t="s">
        <v>543</v>
      </c>
      <c r="B519" s="5" t="s">
        <v>18</v>
      </c>
      <c r="C519" s="6" t="n">
        <v>45318</v>
      </c>
      <c r="D519" s="5" t="s">
        <v>23</v>
      </c>
      <c r="E519" s="7" t="n">
        <v>14544</v>
      </c>
      <c r="F519" s="7" t="n">
        <v>7587</v>
      </c>
      <c r="G519" s="7" t="n">
        <v>486</v>
      </c>
      <c r="H519" s="7" t="n">
        <v>111</v>
      </c>
      <c r="I519" s="7" t="n">
        <v>57</v>
      </c>
      <c r="J519" s="8" t="n">
        <v>8.62</v>
      </c>
      <c r="K519" s="9" t="n">
        <f aca="false">(G519+H519+I519)/E519</f>
        <v>0.04496699669967</v>
      </c>
    </row>
    <row r="520" customFormat="false" ht="14.25" hidden="false" customHeight="true" outlineLevel="0" collapsed="false">
      <c r="A520" s="5" t="s">
        <v>544</v>
      </c>
      <c r="B520" s="5" t="s">
        <v>14</v>
      </c>
      <c r="C520" s="6" t="n">
        <v>45741</v>
      </c>
      <c r="D520" s="5" t="s">
        <v>23</v>
      </c>
      <c r="E520" s="7" t="n">
        <v>58879</v>
      </c>
      <c r="F520" s="7" t="n">
        <v>23183</v>
      </c>
      <c r="G520" s="7" t="n">
        <v>884</v>
      </c>
      <c r="H520" s="7" t="n">
        <v>413</v>
      </c>
      <c r="I520" s="7" t="n">
        <v>186</v>
      </c>
      <c r="J520" s="8" t="n">
        <v>6.4</v>
      </c>
      <c r="K520" s="9" t="n">
        <f aca="false">(G520+H520+I520)/E520</f>
        <v>0.0251872484247355</v>
      </c>
    </row>
    <row r="521" customFormat="false" ht="14.25" hidden="false" customHeight="true" outlineLevel="0" collapsed="false">
      <c r="A521" s="5" t="s">
        <v>545</v>
      </c>
      <c r="B521" s="5" t="s">
        <v>33</v>
      </c>
      <c r="C521" s="6" t="n">
        <v>45633</v>
      </c>
      <c r="D521" s="5" t="s">
        <v>15</v>
      </c>
      <c r="E521" s="7" t="n">
        <v>12952</v>
      </c>
      <c r="F521" s="7" t="n">
        <v>9872</v>
      </c>
      <c r="G521" s="7" t="n">
        <v>429</v>
      </c>
      <c r="H521" s="7" t="n">
        <v>183</v>
      </c>
      <c r="I521" s="7" t="n">
        <v>32</v>
      </c>
      <c r="J521" s="8" t="n">
        <v>6.52</v>
      </c>
      <c r="K521" s="9" t="n">
        <f aca="false">(G521+H521+I521)/E521</f>
        <v>0.0497220506485485</v>
      </c>
    </row>
    <row r="522" customFormat="false" ht="14.25" hidden="false" customHeight="true" outlineLevel="0" collapsed="false">
      <c r="A522" s="5" t="s">
        <v>546</v>
      </c>
      <c r="B522" s="5" t="s">
        <v>18</v>
      </c>
      <c r="C522" s="6" t="n">
        <v>45915</v>
      </c>
      <c r="D522" s="5" t="s">
        <v>28</v>
      </c>
      <c r="E522" s="7" t="n">
        <v>58263</v>
      </c>
      <c r="F522" s="7" t="n">
        <v>25374</v>
      </c>
      <c r="G522" s="7" t="n">
        <v>811</v>
      </c>
      <c r="H522" s="7" t="n">
        <v>348</v>
      </c>
      <c r="I522" s="7" t="n">
        <v>67</v>
      </c>
      <c r="J522" s="8" t="n">
        <v>4.83</v>
      </c>
      <c r="K522" s="9" t="n">
        <f aca="false">(G522+H522+I522)/E522</f>
        <v>0.0210425141170211</v>
      </c>
    </row>
    <row r="523" customFormat="false" ht="14.25" hidden="false" customHeight="true" outlineLevel="0" collapsed="false">
      <c r="A523" s="5" t="s">
        <v>547</v>
      </c>
      <c r="B523" s="5" t="s">
        <v>18</v>
      </c>
      <c r="C523" s="6" t="n">
        <v>45947</v>
      </c>
      <c r="D523" s="5" t="s">
        <v>23</v>
      </c>
      <c r="E523" s="7" t="n">
        <v>79853</v>
      </c>
      <c r="F523" s="7" t="n">
        <v>53928</v>
      </c>
      <c r="G523" s="7" t="n">
        <v>1857</v>
      </c>
      <c r="H523" s="7" t="n">
        <v>481</v>
      </c>
      <c r="I523" s="7" t="n">
        <v>443</v>
      </c>
      <c r="J523" s="8" t="n">
        <v>5.16</v>
      </c>
      <c r="K523" s="9" t="n">
        <f aca="false">(G523+H523+I523)/E523</f>
        <v>0.0348264936821409</v>
      </c>
    </row>
    <row r="524" customFormat="false" ht="14.25" hidden="false" customHeight="true" outlineLevel="0" collapsed="false">
      <c r="A524" s="5" t="s">
        <v>548</v>
      </c>
      <c r="B524" s="5" t="s">
        <v>14</v>
      </c>
      <c r="C524" s="6" t="n">
        <v>45383</v>
      </c>
      <c r="D524" s="5" t="s">
        <v>28</v>
      </c>
      <c r="E524" s="7" t="n">
        <v>7562</v>
      </c>
      <c r="F524" s="7" t="n">
        <v>4153</v>
      </c>
      <c r="G524" s="7" t="n">
        <v>57</v>
      </c>
      <c r="H524" s="7" t="n">
        <v>55</v>
      </c>
      <c r="I524" s="7" t="n">
        <v>51</v>
      </c>
      <c r="J524" s="8" t="n">
        <v>3.92</v>
      </c>
      <c r="K524" s="9" t="n">
        <f aca="false">(G524+H524+I524)/E524</f>
        <v>0.0215551441417614</v>
      </c>
    </row>
    <row r="525" customFormat="false" ht="14.25" hidden="false" customHeight="true" outlineLevel="0" collapsed="false">
      <c r="A525" s="5" t="s">
        <v>549</v>
      </c>
      <c r="B525" s="5" t="s">
        <v>25</v>
      </c>
      <c r="C525" s="6" t="n">
        <v>45791</v>
      </c>
      <c r="D525" s="5" t="s">
        <v>26</v>
      </c>
      <c r="E525" s="7" t="n">
        <v>85442</v>
      </c>
      <c r="F525" s="7" t="n">
        <v>26782</v>
      </c>
      <c r="G525" s="7" t="n">
        <v>1735</v>
      </c>
      <c r="H525" s="7" t="n">
        <v>170</v>
      </c>
      <c r="I525" s="7" t="n">
        <v>785</v>
      </c>
      <c r="J525" s="8" t="n">
        <v>10.04</v>
      </c>
      <c r="K525" s="9" t="n">
        <f aca="false">(G525+H525+I525)/E525</f>
        <v>0.0314833454273074</v>
      </c>
    </row>
    <row r="526" customFormat="false" ht="14.25" hidden="false" customHeight="true" outlineLevel="0" collapsed="false">
      <c r="A526" s="5" t="s">
        <v>550</v>
      </c>
      <c r="B526" s="5" t="s">
        <v>18</v>
      </c>
      <c r="C526" s="6" t="n">
        <v>45784</v>
      </c>
      <c r="D526" s="5" t="s">
        <v>26</v>
      </c>
      <c r="E526" s="7" t="n">
        <v>92991</v>
      </c>
      <c r="F526" s="7" t="n">
        <v>71950</v>
      </c>
      <c r="G526" s="7" t="n">
        <v>2726</v>
      </c>
      <c r="H526" s="7" t="n">
        <v>804</v>
      </c>
      <c r="I526" s="7" t="n">
        <v>495</v>
      </c>
      <c r="J526" s="8" t="n">
        <v>5.59</v>
      </c>
      <c r="K526" s="9" t="n">
        <f aca="false">(G526+H526+I526)/E526</f>
        <v>0.0432837586433096</v>
      </c>
    </row>
    <row r="527" customFormat="false" ht="14.25" hidden="false" customHeight="true" outlineLevel="0" collapsed="false">
      <c r="A527" s="5" t="s">
        <v>551</v>
      </c>
      <c r="B527" s="5" t="s">
        <v>25</v>
      </c>
      <c r="C527" s="6" t="n">
        <v>45587</v>
      </c>
      <c r="D527" s="5" t="s">
        <v>26</v>
      </c>
      <c r="E527" s="7" t="n">
        <v>301112</v>
      </c>
      <c r="F527" s="7" t="n">
        <v>200204</v>
      </c>
      <c r="G527" s="7" t="n">
        <v>8580</v>
      </c>
      <c r="H527" s="7" t="n">
        <v>5836</v>
      </c>
      <c r="I527" s="7" t="n">
        <v>9983</v>
      </c>
      <c r="J527" s="8" t="n">
        <v>12.19</v>
      </c>
      <c r="K527" s="9" t="n">
        <f aca="false">(G527+H527+I527)/E527</f>
        <v>0.0810296500969739</v>
      </c>
    </row>
    <row r="528" customFormat="false" ht="14.25" hidden="false" customHeight="true" outlineLevel="0" collapsed="false">
      <c r="A528" s="5" t="s">
        <v>552</v>
      </c>
      <c r="B528" s="5" t="s">
        <v>14</v>
      </c>
      <c r="C528" s="6" t="n">
        <v>45811</v>
      </c>
      <c r="D528" s="5" t="s">
        <v>23</v>
      </c>
      <c r="E528" s="7" t="n">
        <v>34405</v>
      </c>
      <c r="F528" s="7" t="n">
        <v>22484</v>
      </c>
      <c r="G528" s="7" t="n">
        <v>344</v>
      </c>
      <c r="H528" s="7" t="n">
        <v>407</v>
      </c>
      <c r="I528" s="7" t="n">
        <v>636</v>
      </c>
      <c r="J528" s="8" t="n">
        <v>6.17</v>
      </c>
      <c r="K528" s="9" t="n">
        <f aca="false">(G528+H528+I528)/E528</f>
        <v>0.0403139078622293</v>
      </c>
    </row>
    <row r="529" customFormat="false" ht="14.25" hidden="false" customHeight="true" outlineLevel="0" collapsed="false">
      <c r="A529" s="5" t="s">
        <v>553</v>
      </c>
      <c r="B529" s="5" t="s">
        <v>14</v>
      </c>
      <c r="C529" s="6" t="n">
        <v>45952</v>
      </c>
      <c r="D529" s="5" t="s">
        <v>23</v>
      </c>
      <c r="E529" s="7" t="n">
        <v>731</v>
      </c>
      <c r="F529" s="7" t="n">
        <v>238</v>
      </c>
      <c r="G529" s="7" t="n">
        <v>8</v>
      </c>
      <c r="H529" s="7" t="n">
        <v>2</v>
      </c>
      <c r="I529" s="7" t="n">
        <v>4</v>
      </c>
      <c r="J529" s="8" t="n">
        <v>5.88</v>
      </c>
      <c r="K529" s="9" t="n">
        <f aca="false">(G529+H529+I529)/E529</f>
        <v>0.0191518467852257</v>
      </c>
    </row>
    <row r="530" customFormat="false" ht="14.25" hidden="false" customHeight="true" outlineLevel="0" collapsed="false">
      <c r="A530" s="5" t="s">
        <v>554</v>
      </c>
      <c r="B530" s="5" t="s">
        <v>25</v>
      </c>
      <c r="C530" s="6" t="n">
        <v>45814</v>
      </c>
      <c r="D530" s="5" t="s">
        <v>23</v>
      </c>
      <c r="E530" s="7" t="n">
        <v>120386</v>
      </c>
      <c r="F530" s="7" t="n">
        <v>56351</v>
      </c>
      <c r="G530" s="7" t="n">
        <v>5671</v>
      </c>
      <c r="H530" s="7" t="n">
        <v>479</v>
      </c>
      <c r="I530" s="7" t="n">
        <v>2188</v>
      </c>
      <c r="J530" s="8" t="n">
        <v>14.8</v>
      </c>
      <c r="K530" s="9" t="n">
        <f aca="false">(G530+H530+I530)/E530</f>
        <v>0.069260545246125</v>
      </c>
    </row>
    <row r="531" customFormat="false" ht="14.25" hidden="false" customHeight="true" outlineLevel="0" collapsed="false">
      <c r="A531" s="5" t="s">
        <v>555</v>
      </c>
      <c r="B531" s="5" t="s">
        <v>18</v>
      </c>
      <c r="C531" s="6" t="n">
        <v>45538</v>
      </c>
      <c r="D531" s="5" t="s">
        <v>23</v>
      </c>
      <c r="E531" s="7" t="n">
        <v>62072</v>
      </c>
      <c r="F531" s="7" t="n">
        <v>27597</v>
      </c>
      <c r="G531" s="7" t="n">
        <v>1429</v>
      </c>
      <c r="H531" s="7" t="n">
        <v>260</v>
      </c>
      <c r="I531" s="7" t="n">
        <v>97</v>
      </c>
      <c r="J531" s="8" t="n">
        <v>6.47</v>
      </c>
      <c r="K531" s="9" t="n">
        <f aca="false">(G531+H531+I531)/E531</f>
        <v>0.0287730377625983</v>
      </c>
    </row>
    <row r="532" customFormat="false" ht="14.25" hidden="false" customHeight="true" outlineLevel="0" collapsed="false">
      <c r="A532" s="5" t="s">
        <v>556</v>
      </c>
      <c r="B532" s="5" t="s">
        <v>33</v>
      </c>
      <c r="C532" s="6" t="n">
        <v>45424</v>
      </c>
      <c r="D532" s="5" t="s">
        <v>28</v>
      </c>
      <c r="E532" s="7" t="n">
        <v>21231</v>
      </c>
      <c r="F532" s="7" t="n">
        <v>9493</v>
      </c>
      <c r="G532" s="7" t="n">
        <v>166</v>
      </c>
      <c r="H532" s="7" t="n">
        <v>127</v>
      </c>
      <c r="I532" s="7" t="n">
        <v>103</v>
      </c>
      <c r="J532" s="8" t="n">
        <v>4.17</v>
      </c>
      <c r="K532" s="9" t="n">
        <f aca="false">(G532+H532+I532)/E532</f>
        <v>0.0186519711742264</v>
      </c>
    </row>
    <row r="533" customFormat="false" ht="14.25" hidden="false" customHeight="true" outlineLevel="0" collapsed="false">
      <c r="A533" s="5" t="s">
        <v>557</v>
      </c>
      <c r="B533" s="5" t="s">
        <v>22</v>
      </c>
      <c r="C533" s="6" t="n">
        <v>45682</v>
      </c>
      <c r="D533" s="5" t="s">
        <v>15</v>
      </c>
      <c r="E533" s="7" t="n">
        <v>24799</v>
      </c>
      <c r="F533" s="7" t="n">
        <v>14219</v>
      </c>
      <c r="G533" s="7" t="n">
        <v>159</v>
      </c>
      <c r="H533" s="7" t="n">
        <v>107</v>
      </c>
      <c r="I533" s="7" t="n">
        <v>50</v>
      </c>
      <c r="J533" s="8" t="n">
        <v>2.22</v>
      </c>
      <c r="K533" s="9" t="n">
        <f aca="false">(G533+H533+I533)/E533</f>
        <v>0.0127424492923102</v>
      </c>
    </row>
    <row r="534" customFormat="false" ht="14.25" hidden="false" customHeight="true" outlineLevel="0" collapsed="false">
      <c r="A534" s="5" t="s">
        <v>558</v>
      </c>
      <c r="B534" s="5" t="s">
        <v>14</v>
      </c>
      <c r="C534" s="6" t="n">
        <v>45308</v>
      </c>
      <c r="D534" s="5" t="s">
        <v>23</v>
      </c>
      <c r="E534" s="7" t="n">
        <v>3061</v>
      </c>
      <c r="F534" s="7" t="n">
        <v>1290</v>
      </c>
      <c r="G534" s="7" t="n">
        <v>63</v>
      </c>
      <c r="H534" s="7" t="n">
        <v>7</v>
      </c>
      <c r="I534" s="7" t="n">
        <v>28</v>
      </c>
      <c r="J534" s="8" t="n">
        <v>7.6</v>
      </c>
      <c r="K534" s="9" t="n">
        <f aca="false">(G534+H534+I534)/E534</f>
        <v>0.032015681149951</v>
      </c>
    </row>
    <row r="535" customFormat="false" ht="14.25" hidden="false" customHeight="true" outlineLevel="0" collapsed="false">
      <c r="A535" s="5" t="s">
        <v>559</v>
      </c>
      <c r="B535" s="5" t="s">
        <v>25</v>
      </c>
      <c r="C535" s="6" t="n">
        <v>45728</v>
      </c>
      <c r="D535" s="5" t="s">
        <v>26</v>
      </c>
      <c r="E535" s="7" t="n">
        <v>340043</v>
      </c>
      <c r="F535" s="7" t="n">
        <v>161330</v>
      </c>
      <c r="G535" s="7" t="n">
        <v>7093</v>
      </c>
      <c r="H535" s="7" t="n">
        <v>2464</v>
      </c>
      <c r="I535" s="7" t="n">
        <v>5353</v>
      </c>
      <c r="J535" s="8" t="n">
        <v>9.24</v>
      </c>
      <c r="K535" s="9" t="n">
        <f aca="false">(G535+H535+I535)/E535</f>
        <v>0.0438473957705349</v>
      </c>
    </row>
    <row r="536" customFormat="false" ht="14.25" hidden="false" customHeight="true" outlineLevel="0" collapsed="false">
      <c r="A536" s="5" t="s">
        <v>560</v>
      </c>
      <c r="B536" s="5" t="s">
        <v>22</v>
      </c>
      <c r="C536" s="6" t="n">
        <v>45359</v>
      </c>
      <c r="D536" s="5" t="s">
        <v>23</v>
      </c>
      <c r="E536" s="7" t="n">
        <v>29619</v>
      </c>
      <c r="F536" s="7" t="n">
        <v>22976</v>
      </c>
      <c r="G536" s="7" t="n">
        <v>279</v>
      </c>
      <c r="H536" s="7" t="n">
        <v>148</v>
      </c>
      <c r="I536" s="7" t="n">
        <v>145</v>
      </c>
      <c r="J536" s="8" t="n">
        <v>2.49</v>
      </c>
      <c r="K536" s="9" t="n">
        <f aca="false">(G536+H536+I536)/E536</f>
        <v>0.0193119281542253</v>
      </c>
    </row>
    <row r="537" customFormat="false" ht="14.25" hidden="false" customHeight="true" outlineLevel="0" collapsed="false">
      <c r="A537" s="5" t="s">
        <v>561</v>
      </c>
      <c r="B537" s="5" t="s">
        <v>25</v>
      </c>
      <c r="C537" s="6" t="n">
        <v>45663</v>
      </c>
      <c r="D537" s="5" t="s">
        <v>26</v>
      </c>
      <c r="E537" s="7" t="n">
        <v>422846</v>
      </c>
      <c r="F537" s="7" t="n">
        <v>225005</v>
      </c>
      <c r="G537" s="7" t="n">
        <v>19967</v>
      </c>
      <c r="H537" s="7" t="n">
        <v>2782</v>
      </c>
      <c r="I537" s="7" t="n">
        <v>2634</v>
      </c>
      <c r="J537" s="8" t="n">
        <v>11.28</v>
      </c>
      <c r="K537" s="9" t="n">
        <f aca="false">(G537+H537+I537)/E537</f>
        <v>0.0600289467087308</v>
      </c>
    </row>
    <row r="538" customFormat="false" ht="14.25" hidden="false" customHeight="true" outlineLevel="0" collapsed="false">
      <c r="A538" s="5" t="s">
        <v>562</v>
      </c>
      <c r="B538" s="5" t="s">
        <v>14</v>
      </c>
      <c r="C538" s="6" t="n">
        <v>45724</v>
      </c>
      <c r="D538" s="5" t="s">
        <v>19</v>
      </c>
      <c r="E538" s="7" t="n">
        <v>27037</v>
      </c>
      <c r="F538" s="7" t="n">
        <v>11583</v>
      </c>
      <c r="G538" s="7" t="n">
        <v>294</v>
      </c>
      <c r="H538" s="7" t="n">
        <v>180</v>
      </c>
      <c r="I538" s="7" t="n">
        <v>235</v>
      </c>
      <c r="J538" s="8" t="n">
        <v>6.12</v>
      </c>
      <c r="K538" s="9" t="n">
        <f aca="false">(G538+H538+I538)/E538</f>
        <v>0.026223323593594</v>
      </c>
    </row>
    <row r="539" customFormat="false" ht="14.25" hidden="false" customHeight="true" outlineLevel="0" collapsed="false">
      <c r="A539" s="5" t="s">
        <v>563</v>
      </c>
      <c r="B539" s="5" t="s">
        <v>18</v>
      </c>
      <c r="C539" s="6" t="n">
        <v>45922</v>
      </c>
      <c r="D539" s="5" t="s">
        <v>26</v>
      </c>
      <c r="E539" s="7" t="n">
        <v>58108</v>
      </c>
      <c r="F539" s="7" t="n">
        <v>45986</v>
      </c>
      <c r="G539" s="7" t="n">
        <v>1595</v>
      </c>
      <c r="H539" s="7" t="n">
        <v>273</v>
      </c>
      <c r="I539" s="7" t="n">
        <v>79</v>
      </c>
      <c r="J539" s="8" t="n">
        <v>4.23</v>
      </c>
      <c r="K539" s="9" t="n">
        <f aca="false">(G539+H539+I539)/E539</f>
        <v>0.033506573965719</v>
      </c>
    </row>
    <row r="540" customFormat="false" ht="14.25" hidden="false" customHeight="true" outlineLevel="0" collapsed="false">
      <c r="A540" s="5" t="s">
        <v>564</v>
      </c>
      <c r="B540" s="5" t="s">
        <v>14</v>
      </c>
      <c r="C540" s="6" t="n">
        <v>45689</v>
      </c>
      <c r="D540" s="5" t="s">
        <v>28</v>
      </c>
      <c r="E540" s="7" t="n">
        <v>39598</v>
      </c>
      <c r="F540" s="7" t="n">
        <v>27591</v>
      </c>
      <c r="G540" s="7" t="n">
        <v>554</v>
      </c>
      <c r="H540" s="7" t="n">
        <v>546</v>
      </c>
      <c r="I540" s="7" t="n">
        <v>240</v>
      </c>
      <c r="J540" s="8" t="n">
        <v>4.86</v>
      </c>
      <c r="K540" s="9" t="n">
        <f aca="false">(G540+H540+I540)/E540</f>
        <v>0.0338400929339866</v>
      </c>
    </row>
    <row r="541" customFormat="false" ht="14.25" hidden="false" customHeight="true" outlineLevel="0" collapsed="false">
      <c r="A541" s="5" t="s">
        <v>565</v>
      </c>
      <c r="B541" s="5" t="s">
        <v>18</v>
      </c>
      <c r="C541" s="6" t="n">
        <v>45842</v>
      </c>
      <c r="D541" s="5" t="s">
        <v>26</v>
      </c>
      <c r="E541" s="7" t="n">
        <v>13315</v>
      </c>
      <c r="F541" s="7" t="n">
        <v>8634</v>
      </c>
      <c r="G541" s="7" t="n">
        <v>386</v>
      </c>
      <c r="H541" s="7" t="n">
        <v>17</v>
      </c>
      <c r="I541" s="7" t="n">
        <v>54</v>
      </c>
      <c r="J541" s="8" t="n">
        <v>5.29</v>
      </c>
      <c r="K541" s="9" t="n">
        <f aca="false">(G541+H541+I541)/E541</f>
        <v>0.0343221930153962</v>
      </c>
    </row>
    <row r="542" customFormat="false" ht="14.25" hidden="false" customHeight="true" outlineLevel="0" collapsed="false">
      <c r="A542" s="5" t="s">
        <v>566</v>
      </c>
      <c r="B542" s="5" t="s">
        <v>25</v>
      </c>
      <c r="C542" s="6" t="n">
        <v>45935</v>
      </c>
      <c r="D542" s="5" t="s">
        <v>26</v>
      </c>
      <c r="E542" s="7" t="n">
        <v>205114</v>
      </c>
      <c r="F542" s="7" t="n">
        <v>63793</v>
      </c>
      <c r="G542" s="7" t="n">
        <v>2285</v>
      </c>
      <c r="H542" s="7" t="n">
        <v>1498</v>
      </c>
      <c r="I542" s="7" t="n">
        <v>1133</v>
      </c>
      <c r="J542" s="8" t="n">
        <v>7.71</v>
      </c>
      <c r="K542" s="9" t="n">
        <f aca="false">(G542+H542+I542)/E542</f>
        <v>0.023967159725811</v>
      </c>
    </row>
    <row r="543" customFormat="false" ht="14.25" hidden="false" customHeight="true" outlineLevel="0" collapsed="false">
      <c r="A543" s="5" t="s">
        <v>567</v>
      </c>
      <c r="B543" s="5" t="s">
        <v>33</v>
      </c>
      <c r="C543" s="6" t="n">
        <v>45913</v>
      </c>
      <c r="D543" s="5" t="s">
        <v>15</v>
      </c>
      <c r="E543" s="7" t="n">
        <v>13067</v>
      </c>
      <c r="F543" s="7" t="n">
        <v>6556</v>
      </c>
      <c r="G543" s="7" t="n">
        <v>329</v>
      </c>
      <c r="H543" s="7" t="n">
        <v>126</v>
      </c>
      <c r="I543" s="7" t="n">
        <v>46</v>
      </c>
      <c r="J543" s="8" t="n">
        <v>7.64</v>
      </c>
      <c r="K543" s="9" t="n">
        <f aca="false">(G543+H543+I543)/E543</f>
        <v>0.038340858651565</v>
      </c>
    </row>
    <row r="544" customFormat="false" ht="14.25" hidden="false" customHeight="true" outlineLevel="0" collapsed="false">
      <c r="A544" s="5" t="s">
        <v>568</v>
      </c>
      <c r="B544" s="5" t="s">
        <v>33</v>
      </c>
      <c r="C544" s="6" t="n">
        <v>46001</v>
      </c>
      <c r="D544" s="5" t="s">
        <v>19</v>
      </c>
      <c r="E544" s="7" t="n">
        <v>14564</v>
      </c>
      <c r="F544" s="7" t="n">
        <v>6240</v>
      </c>
      <c r="G544" s="7" t="n">
        <v>222</v>
      </c>
      <c r="H544" s="7" t="n">
        <v>92</v>
      </c>
      <c r="I544" s="7" t="n">
        <v>92</v>
      </c>
      <c r="J544" s="8" t="n">
        <v>6.51</v>
      </c>
      <c r="K544" s="9" t="n">
        <f aca="false">(G544+H544+I544)/E544</f>
        <v>0.027876956879978</v>
      </c>
    </row>
    <row r="545" customFormat="false" ht="14.25" hidden="false" customHeight="true" outlineLevel="0" collapsed="false">
      <c r="A545" s="5" t="s">
        <v>569</v>
      </c>
      <c r="B545" s="5" t="s">
        <v>18</v>
      </c>
      <c r="C545" s="6" t="n">
        <v>45893</v>
      </c>
      <c r="D545" s="5" t="s">
        <v>23</v>
      </c>
      <c r="E545" s="7" t="n">
        <v>84635</v>
      </c>
      <c r="F545" s="7" t="n">
        <v>55737</v>
      </c>
      <c r="G545" s="7" t="n">
        <v>1423</v>
      </c>
      <c r="H545" s="7" t="n">
        <v>808</v>
      </c>
      <c r="I545" s="7" t="n">
        <v>474</v>
      </c>
      <c r="J545" s="8" t="n">
        <v>4.85</v>
      </c>
      <c r="K545" s="9" t="n">
        <f aca="false">(G545+H545+I545)/E545</f>
        <v>0.0319607727299581</v>
      </c>
    </row>
    <row r="546" customFormat="false" ht="14.25" hidden="false" customHeight="true" outlineLevel="0" collapsed="false">
      <c r="A546" s="5" t="s">
        <v>570</v>
      </c>
      <c r="B546" s="5" t="s">
        <v>33</v>
      </c>
      <c r="C546" s="6" t="n">
        <v>45528</v>
      </c>
      <c r="D546" s="5" t="s">
        <v>15</v>
      </c>
      <c r="E546" s="7" t="n">
        <v>10273</v>
      </c>
      <c r="F546" s="7" t="n">
        <v>5654</v>
      </c>
      <c r="G546" s="7" t="n">
        <v>175</v>
      </c>
      <c r="H546" s="7" t="n">
        <v>43</v>
      </c>
      <c r="I546" s="7" t="n">
        <v>45</v>
      </c>
      <c r="J546" s="8" t="n">
        <v>4.65</v>
      </c>
      <c r="K546" s="9" t="n">
        <f aca="false">(G546+H546+I546)/E546</f>
        <v>0.0256010902365424</v>
      </c>
    </row>
    <row r="547" customFormat="false" ht="14.25" hidden="false" customHeight="true" outlineLevel="0" collapsed="false">
      <c r="A547" s="5" t="s">
        <v>571</v>
      </c>
      <c r="B547" s="5" t="s">
        <v>22</v>
      </c>
      <c r="C547" s="6" t="n">
        <v>45814</v>
      </c>
      <c r="D547" s="5" t="s">
        <v>23</v>
      </c>
      <c r="E547" s="7" t="n">
        <v>7109</v>
      </c>
      <c r="F547" s="7" t="n">
        <v>4361</v>
      </c>
      <c r="G547" s="7" t="n">
        <v>97</v>
      </c>
      <c r="H547" s="7" t="n">
        <v>30</v>
      </c>
      <c r="I547" s="7" t="n">
        <v>85</v>
      </c>
      <c r="J547" s="8" t="n">
        <v>4.86</v>
      </c>
      <c r="K547" s="9" t="n">
        <f aca="false">(G547+H547+I547)/E547</f>
        <v>0.0298213532142355</v>
      </c>
    </row>
    <row r="548" customFormat="false" ht="14.25" hidden="false" customHeight="true" outlineLevel="0" collapsed="false">
      <c r="A548" s="5" t="s">
        <v>572</v>
      </c>
      <c r="B548" s="5" t="s">
        <v>14</v>
      </c>
      <c r="C548" s="6" t="n">
        <v>45546</v>
      </c>
      <c r="D548" s="5" t="s">
        <v>19</v>
      </c>
      <c r="E548" s="7" t="n">
        <v>26436</v>
      </c>
      <c r="F548" s="7" t="n">
        <v>17632</v>
      </c>
      <c r="G548" s="7" t="n">
        <v>724</v>
      </c>
      <c r="H548" s="7" t="n">
        <v>287</v>
      </c>
      <c r="I548" s="7" t="n">
        <v>323</v>
      </c>
      <c r="J548" s="8" t="n">
        <v>7.57</v>
      </c>
      <c r="K548" s="9" t="n">
        <f aca="false">(G548+H548+I548)/E548</f>
        <v>0.0504614919049781</v>
      </c>
    </row>
    <row r="549" customFormat="false" ht="14.25" hidden="false" customHeight="true" outlineLevel="0" collapsed="false">
      <c r="A549" s="5" t="s">
        <v>573</v>
      </c>
      <c r="B549" s="5" t="s">
        <v>14</v>
      </c>
      <c r="C549" s="6" t="n">
        <v>45850</v>
      </c>
      <c r="D549" s="5" t="s">
        <v>19</v>
      </c>
      <c r="E549" s="7" t="n">
        <v>10617</v>
      </c>
      <c r="F549" s="7" t="n">
        <v>6587</v>
      </c>
      <c r="G549" s="7" t="n">
        <v>162</v>
      </c>
      <c r="H549" s="7" t="n">
        <v>66</v>
      </c>
      <c r="I549" s="7" t="n">
        <v>156</v>
      </c>
      <c r="J549" s="8" t="n">
        <v>5.83</v>
      </c>
      <c r="K549" s="9" t="n">
        <f aca="false">(G549+H549+I549)/E549</f>
        <v>0.0361684091551286</v>
      </c>
    </row>
    <row r="550" customFormat="false" ht="14.25" hidden="false" customHeight="true" outlineLevel="0" collapsed="false">
      <c r="A550" s="5" t="s">
        <v>574</v>
      </c>
      <c r="B550" s="5" t="s">
        <v>14</v>
      </c>
      <c r="C550" s="6" t="n">
        <v>45310</v>
      </c>
      <c r="D550" s="5" t="s">
        <v>15</v>
      </c>
      <c r="E550" s="7" t="n">
        <v>25704</v>
      </c>
      <c r="F550" s="7" t="n">
        <v>17953</v>
      </c>
      <c r="G550" s="7" t="n">
        <v>558</v>
      </c>
      <c r="H550" s="7" t="n">
        <v>191</v>
      </c>
      <c r="I550" s="7" t="n">
        <v>450</v>
      </c>
      <c r="J550" s="8" t="n">
        <v>6.68</v>
      </c>
      <c r="K550" s="9" t="n">
        <f aca="false">(G550+H550+I550)/E550</f>
        <v>0.0466464363523187</v>
      </c>
    </row>
    <row r="551" customFormat="false" ht="14.25" hidden="false" customHeight="true" outlineLevel="0" collapsed="false">
      <c r="A551" s="5" t="s">
        <v>575</v>
      </c>
      <c r="B551" s="5" t="s">
        <v>25</v>
      </c>
      <c r="C551" s="6" t="n">
        <v>45538</v>
      </c>
      <c r="D551" s="5" t="s">
        <v>26</v>
      </c>
      <c r="E551" s="7" t="n">
        <v>280933</v>
      </c>
      <c r="F551" s="7" t="n">
        <v>189679</v>
      </c>
      <c r="G551" s="7" t="n">
        <v>7795</v>
      </c>
      <c r="H551" s="7" t="n">
        <v>5204</v>
      </c>
      <c r="I551" s="7" t="n">
        <v>4138</v>
      </c>
      <c r="J551" s="8" t="n">
        <v>9.03</v>
      </c>
      <c r="K551" s="9" t="n">
        <f aca="false">(G551+H551+I551)/E551</f>
        <v>0.0610003096823798</v>
      </c>
    </row>
    <row r="552" customFormat="false" ht="14.25" hidden="false" customHeight="true" outlineLevel="0" collapsed="false">
      <c r="A552" s="5" t="s">
        <v>576</v>
      </c>
      <c r="B552" s="5" t="s">
        <v>18</v>
      </c>
      <c r="C552" s="6" t="n">
        <v>45958</v>
      </c>
      <c r="D552" s="5" t="s">
        <v>26</v>
      </c>
      <c r="E552" s="7" t="n">
        <v>68366</v>
      </c>
      <c r="F552" s="7" t="n">
        <v>35477</v>
      </c>
      <c r="G552" s="7" t="n">
        <v>1826</v>
      </c>
      <c r="H552" s="7" t="n">
        <v>351</v>
      </c>
      <c r="I552" s="7" t="n">
        <v>194</v>
      </c>
      <c r="J552" s="8" t="n">
        <v>6.68</v>
      </c>
      <c r="K552" s="9" t="n">
        <f aca="false">(G552+H552+I552)/E552</f>
        <v>0.0346809817745663</v>
      </c>
    </row>
    <row r="553" customFormat="false" ht="14.25" hidden="false" customHeight="true" outlineLevel="0" collapsed="false">
      <c r="A553" s="5" t="s">
        <v>577</v>
      </c>
      <c r="B553" s="5" t="s">
        <v>25</v>
      </c>
      <c r="C553" s="6" t="n">
        <v>45750</v>
      </c>
      <c r="D553" s="5" t="s">
        <v>26</v>
      </c>
      <c r="E553" s="7" t="n">
        <v>335088</v>
      </c>
      <c r="F553" s="7" t="n">
        <v>169663</v>
      </c>
      <c r="G553" s="7" t="n">
        <v>15633</v>
      </c>
      <c r="H553" s="7" t="n">
        <v>2559</v>
      </c>
      <c r="I553" s="7" t="n">
        <v>6680</v>
      </c>
      <c r="J553" s="8" t="n">
        <v>14.66</v>
      </c>
      <c r="K553" s="9" t="n">
        <f aca="false">(G553+H553+I553)/E553</f>
        <v>0.0742252781358927</v>
      </c>
    </row>
    <row r="554" customFormat="false" ht="14.25" hidden="false" customHeight="true" outlineLevel="0" collapsed="false">
      <c r="A554" s="5" t="s">
        <v>578</v>
      </c>
      <c r="B554" s="5" t="s">
        <v>25</v>
      </c>
      <c r="C554" s="6" t="n">
        <v>45652</v>
      </c>
      <c r="D554" s="5" t="s">
        <v>26</v>
      </c>
      <c r="E554" s="7" t="n">
        <v>483615</v>
      </c>
      <c r="F554" s="7" t="n">
        <v>199498</v>
      </c>
      <c r="G554" s="7" t="n">
        <v>22698</v>
      </c>
      <c r="H554" s="7" t="n">
        <v>2739</v>
      </c>
      <c r="I554" s="7" t="n">
        <v>3031</v>
      </c>
      <c r="J554" s="8" t="n">
        <v>14.27</v>
      </c>
      <c r="K554" s="9" t="n">
        <f aca="false">(G554+H554+I554)/E554</f>
        <v>0.0588650062549756</v>
      </c>
    </row>
    <row r="555" customFormat="false" ht="14.25" hidden="false" customHeight="true" outlineLevel="0" collapsed="false">
      <c r="A555" s="5" t="s">
        <v>579</v>
      </c>
      <c r="B555" s="5" t="s">
        <v>14</v>
      </c>
      <c r="C555" s="6" t="n">
        <v>45299</v>
      </c>
      <c r="D555" s="5" t="s">
        <v>15</v>
      </c>
      <c r="E555" s="7" t="n">
        <v>19259</v>
      </c>
      <c r="F555" s="7" t="n">
        <v>12826</v>
      </c>
      <c r="G555" s="7" t="n">
        <v>282</v>
      </c>
      <c r="H555" s="7" t="n">
        <v>178</v>
      </c>
      <c r="I555" s="7" t="n">
        <v>354</v>
      </c>
      <c r="J555" s="8" t="n">
        <v>6.35</v>
      </c>
      <c r="K555" s="9" t="n">
        <f aca="false">(G555+H555+I555)/E555</f>
        <v>0.0422659535801444</v>
      </c>
    </row>
    <row r="556" customFormat="false" ht="14.25" hidden="false" customHeight="true" outlineLevel="0" collapsed="false">
      <c r="A556" s="5" t="s">
        <v>580</v>
      </c>
      <c r="B556" s="5" t="s">
        <v>25</v>
      </c>
      <c r="C556" s="6" t="n">
        <v>45934</v>
      </c>
      <c r="D556" s="5" t="s">
        <v>26</v>
      </c>
      <c r="E556" s="7" t="n">
        <v>105734</v>
      </c>
      <c r="F556" s="7" t="n">
        <v>49365</v>
      </c>
      <c r="G556" s="7" t="n">
        <v>3314</v>
      </c>
      <c r="H556" s="7" t="n">
        <v>1127</v>
      </c>
      <c r="I556" s="7" t="n">
        <v>2353</v>
      </c>
      <c r="J556" s="8" t="n">
        <v>13.76</v>
      </c>
      <c r="K556" s="9" t="n">
        <f aca="false">(G556+H556+I556)/E556</f>
        <v>0.0642555847693268</v>
      </c>
    </row>
    <row r="557" customFormat="false" ht="14.25" hidden="false" customHeight="true" outlineLevel="0" collapsed="false">
      <c r="A557" s="5" t="s">
        <v>581</v>
      </c>
      <c r="B557" s="5" t="s">
        <v>25</v>
      </c>
      <c r="C557" s="6" t="n">
        <v>45459</v>
      </c>
      <c r="D557" s="5" t="s">
        <v>23</v>
      </c>
      <c r="E557" s="7" t="n">
        <v>314434</v>
      </c>
      <c r="F557" s="7" t="n">
        <v>216610</v>
      </c>
      <c r="G557" s="7" t="n">
        <v>17538</v>
      </c>
      <c r="H557" s="7" t="n">
        <v>2841</v>
      </c>
      <c r="I557" s="7" t="n">
        <v>3817</v>
      </c>
      <c r="J557" s="8" t="n">
        <v>11.17</v>
      </c>
      <c r="K557" s="9" t="n">
        <f aca="false">(G557+H557+I557)/E557</f>
        <v>0.0769509658624703</v>
      </c>
    </row>
    <row r="558" customFormat="false" ht="14.25" hidden="false" customHeight="true" outlineLevel="0" collapsed="false">
      <c r="A558" s="5" t="s">
        <v>582</v>
      </c>
      <c r="B558" s="5" t="s">
        <v>33</v>
      </c>
      <c r="C558" s="6" t="n">
        <v>45689</v>
      </c>
      <c r="D558" s="5" t="s">
        <v>15</v>
      </c>
      <c r="E558" s="7" t="n">
        <v>3279</v>
      </c>
      <c r="F558" s="7" t="n">
        <v>2511</v>
      </c>
      <c r="G558" s="7" t="n">
        <v>111</v>
      </c>
      <c r="H558" s="7" t="n">
        <v>24</v>
      </c>
      <c r="I558" s="7" t="n">
        <v>27</v>
      </c>
      <c r="J558" s="8" t="n">
        <v>6.45</v>
      </c>
      <c r="K558" s="9" t="n">
        <f aca="false">(G558+H558+I558)/E558</f>
        <v>0.0494053064958829</v>
      </c>
    </row>
    <row r="559" customFormat="false" ht="14.25" hidden="false" customHeight="true" outlineLevel="0" collapsed="false">
      <c r="A559" s="5" t="s">
        <v>583</v>
      </c>
      <c r="B559" s="5" t="s">
        <v>14</v>
      </c>
      <c r="C559" s="6" t="n">
        <v>45344</v>
      </c>
      <c r="D559" s="5" t="s">
        <v>28</v>
      </c>
      <c r="E559" s="7" t="n">
        <v>49064</v>
      </c>
      <c r="F559" s="7" t="n">
        <v>33184</v>
      </c>
      <c r="G559" s="7" t="n">
        <v>1143</v>
      </c>
      <c r="H559" s="7" t="n">
        <v>345</v>
      </c>
      <c r="I559" s="7" t="n">
        <v>511</v>
      </c>
      <c r="J559" s="8" t="n">
        <v>6.02</v>
      </c>
      <c r="K559" s="9" t="n">
        <f aca="false">(G559+H559+I559)/E559</f>
        <v>0.0407427034077939</v>
      </c>
    </row>
    <row r="560" customFormat="false" ht="14.25" hidden="false" customHeight="true" outlineLevel="0" collapsed="false">
      <c r="A560" s="5" t="s">
        <v>584</v>
      </c>
      <c r="B560" s="5" t="s">
        <v>33</v>
      </c>
      <c r="C560" s="6" t="n">
        <v>45795</v>
      </c>
      <c r="D560" s="5" t="s">
        <v>15</v>
      </c>
      <c r="E560" s="7" t="n">
        <v>13079</v>
      </c>
      <c r="F560" s="7" t="n">
        <v>8025</v>
      </c>
      <c r="G560" s="7" t="n">
        <v>217</v>
      </c>
      <c r="H560" s="7" t="n">
        <v>177</v>
      </c>
      <c r="I560" s="7" t="n">
        <v>97</v>
      </c>
      <c r="J560" s="8" t="n">
        <v>6.12</v>
      </c>
      <c r="K560" s="9" t="n">
        <f aca="false">(G560+H560+I560)/E560</f>
        <v>0.0375410964140989</v>
      </c>
    </row>
    <row r="561" customFormat="false" ht="14.25" hidden="false" customHeight="true" outlineLevel="0" collapsed="false">
      <c r="A561" s="5" t="s">
        <v>585</v>
      </c>
      <c r="B561" s="5" t="s">
        <v>14</v>
      </c>
      <c r="C561" s="6" t="n">
        <v>45706</v>
      </c>
      <c r="D561" s="5" t="s">
        <v>23</v>
      </c>
      <c r="E561" s="7" t="n">
        <v>68875</v>
      </c>
      <c r="F561" s="7" t="n">
        <v>37350</v>
      </c>
      <c r="G561" s="7" t="n">
        <v>1165</v>
      </c>
      <c r="H561" s="7" t="n">
        <v>516</v>
      </c>
      <c r="I561" s="7" t="n">
        <v>980</v>
      </c>
      <c r="J561" s="8" t="n">
        <v>7.12</v>
      </c>
      <c r="K561" s="9" t="n">
        <f aca="false">(G561+H561+I561)/E561</f>
        <v>0.0386352087114338</v>
      </c>
    </row>
    <row r="562" customFormat="false" ht="14.25" hidden="false" customHeight="true" outlineLevel="0" collapsed="false">
      <c r="A562" s="5" t="s">
        <v>586</v>
      </c>
      <c r="B562" s="5" t="s">
        <v>25</v>
      </c>
      <c r="C562" s="6" t="n">
        <v>45341</v>
      </c>
      <c r="D562" s="5" t="s">
        <v>23</v>
      </c>
      <c r="E562" s="7" t="n">
        <v>292218</v>
      </c>
      <c r="F562" s="7" t="n">
        <v>150070</v>
      </c>
      <c r="G562" s="7" t="n">
        <v>4971</v>
      </c>
      <c r="H562" s="7" t="n">
        <v>824</v>
      </c>
      <c r="I562" s="7" t="n">
        <v>2913</v>
      </c>
      <c r="J562" s="8" t="n">
        <v>5.8</v>
      </c>
      <c r="K562" s="9" t="n">
        <f aca="false">(G562+H562+I562)/E562</f>
        <v>0.029799670109302</v>
      </c>
    </row>
    <row r="563" customFormat="false" ht="14.25" hidden="false" customHeight="true" outlineLevel="0" collapsed="false">
      <c r="A563" s="5" t="s">
        <v>587</v>
      </c>
      <c r="B563" s="5" t="s">
        <v>14</v>
      </c>
      <c r="C563" s="6" t="n">
        <v>45495</v>
      </c>
      <c r="D563" s="5" t="s">
        <v>28</v>
      </c>
      <c r="E563" s="7" t="n">
        <v>2008</v>
      </c>
      <c r="F563" s="7" t="n">
        <v>1078</v>
      </c>
      <c r="G563" s="7" t="n">
        <v>37</v>
      </c>
      <c r="H563" s="7" t="n">
        <v>15</v>
      </c>
      <c r="I563" s="7" t="n">
        <v>19</v>
      </c>
      <c r="J563" s="8" t="n">
        <v>6.59</v>
      </c>
      <c r="K563" s="9" t="n">
        <f aca="false">(G563+H563+I563)/E563</f>
        <v>0.0353585657370518</v>
      </c>
    </row>
    <row r="564" customFormat="false" ht="14.25" hidden="false" customHeight="true" outlineLevel="0" collapsed="false">
      <c r="A564" s="5" t="s">
        <v>588</v>
      </c>
      <c r="B564" s="5" t="s">
        <v>25</v>
      </c>
      <c r="C564" s="6" t="n">
        <v>45819</v>
      </c>
      <c r="D564" s="5" t="s">
        <v>26</v>
      </c>
      <c r="E564" s="7" t="n">
        <v>186197</v>
      </c>
      <c r="F564" s="7" t="n">
        <v>110046</v>
      </c>
      <c r="G564" s="7" t="n">
        <v>12065</v>
      </c>
      <c r="H564" s="7" t="n">
        <v>3260</v>
      </c>
      <c r="I564" s="7" t="n">
        <v>1251</v>
      </c>
      <c r="J564" s="8" t="n">
        <v>15.06</v>
      </c>
      <c r="K564" s="9" t="n">
        <f aca="false">(G564+H564+I564)/E564</f>
        <v>0.0890239907195068</v>
      </c>
    </row>
    <row r="565" customFormat="false" ht="14.25" hidden="false" customHeight="true" outlineLevel="0" collapsed="false">
      <c r="A565" s="5" t="s">
        <v>589</v>
      </c>
      <c r="B565" s="5" t="s">
        <v>33</v>
      </c>
      <c r="C565" s="6" t="n">
        <v>45360</v>
      </c>
      <c r="D565" s="5" t="s">
        <v>19</v>
      </c>
      <c r="E565" s="7" t="n">
        <v>10544</v>
      </c>
      <c r="F565" s="7" t="n">
        <v>6025</v>
      </c>
      <c r="G565" s="7" t="n">
        <v>320</v>
      </c>
      <c r="H565" s="7" t="n">
        <v>69</v>
      </c>
      <c r="I565" s="7" t="n">
        <v>23</v>
      </c>
      <c r="J565" s="8" t="n">
        <v>6.84</v>
      </c>
      <c r="K565" s="9" t="n">
        <f aca="false">(G565+H565+I565)/E565</f>
        <v>0.0390743550834598</v>
      </c>
    </row>
    <row r="566" customFormat="false" ht="14.25" hidden="false" customHeight="true" outlineLevel="0" collapsed="false">
      <c r="A566" s="5" t="s">
        <v>590</v>
      </c>
      <c r="B566" s="5" t="s">
        <v>25</v>
      </c>
      <c r="C566" s="6" t="n">
        <v>45702</v>
      </c>
      <c r="D566" s="5" t="s">
        <v>23</v>
      </c>
      <c r="E566" s="7" t="n">
        <v>150291</v>
      </c>
      <c r="F566" s="7" t="n">
        <v>79412</v>
      </c>
      <c r="G566" s="7" t="n">
        <v>9221</v>
      </c>
      <c r="H566" s="7" t="n">
        <v>888</v>
      </c>
      <c r="I566" s="7" t="n">
        <v>1254</v>
      </c>
      <c r="J566" s="8" t="n">
        <v>14.31</v>
      </c>
      <c r="K566" s="9" t="n">
        <f aca="false">(G566+H566+I566)/E566</f>
        <v>0.0756066564198788</v>
      </c>
    </row>
    <row r="567" customFormat="false" ht="14.25" hidden="false" customHeight="true" outlineLevel="0" collapsed="false">
      <c r="A567" s="5" t="s">
        <v>591</v>
      </c>
      <c r="B567" s="5" t="s">
        <v>33</v>
      </c>
      <c r="C567" s="6" t="n">
        <v>45746</v>
      </c>
      <c r="D567" s="5" t="s">
        <v>23</v>
      </c>
      <c r="E567" s="7" t="n">
        <v>10578</v>
      </c>
      <c r="F567" s="7" t="n">
        <v>6220</v>
      </c>
      <c r="G567" s="7" t="n">
        <v>371</v>
      </c>
      <c r="H567" s="7" t="n">
        <v>107</v>
      </c>
      <c r="I567" s="7" t="n">
        <v>73</v>
      </c>
      <c r="J567" s="8" t="n">
        <v>8.86</v>
      </c>
      <c r="K567" s="9" t="n">
        <f aca="false">(G567+H567+I567)/E567</f>
        <v>0.0520892418226508</v>
      </c>
    </row>
    <row r="568" customFormat="false" ht="14.25" hidden="false" customHeight="true" outlineLevel="0" collapsed="false">
      <c r="A568" s="5" t="s">
        <v>592</v>
      </c>
      <c r="B568" s="5" t="s">
        <v>25</v>
      </c>
      <c r="C568" s="6" t="n">
        <v>45691</v>
      </c>
      <c r="D568" s="5" t="s">
        <v>26</v>
      </c>
      <c r="E568" s="7" t="n">
        <v>125093</v>
      </c>
      <c r="F568" s="7" t="n">
        <v>59574</v>
      </c>
      <c r="G568" s="7" t="n">
        <v>1936</v>
      </c>
      <c r="H568" s="7" t="n">
        <v>574</v>
      </c>
      <c r="I568" s="7" t="n">
        <v>2658</v>
      </c>
      <c r="J568" s="8" t="n">
        <v>8.67</v>
      </c>
      <c r="K568" s="9" t="n">
        <f aca="false">(G568+H568+I568)/E568</f>
        <v>0.0413132629323783</v>
      </c>
    </row>
    <row r="569" customFormat="false" ht="14.25" hidden="false" customHeight="true" outlineLevel="0" collapsed="false">
      <c r="A569" s="5" t="s">
        <v>593</v>
      </c>
      <c r="B569" s="5" t="s">
        <v>14</v>
      </c>
      <c r="C569" s="6" t="n">
        <v>45533</v>
      </c>
      <c r="D569" s="5" t="s">
        <v>28</v>
      </c>
      <c r="E569" s="7" t="n">
        <v>34704</v>
      </c>
      <c r="F569" s="7" t="n">
        <v>23012</v>
      </c>
      <c r="G569" s="7" t="n">
        <v>396</v>
      </c>
      <c r="H569" s="7" t="n">
        <v>198</v>
      </c>
      <c r="I569" s="7" t="n">
        <v>278</v>
      </c>
      <c r="J569" s="8" t="n">
        <v>3.79</v>
      </c>
      <c r="K569" s="9" t="n">
        <f aca="false">(G569+H569+I569)/E569</f>
        <v>0.0251267865375749</v>
      </c>
    </row>
    <row r="570" customFormat="false" ht="14.25" hidden="false" customHeight="true" outlineLevel="0" collapsed="false">
      <c r="A570" s="5" t="s">
        <v>594</v>
      </c>
      <c r="B570" s="5" t="s">
        <v>22</v>
      </c>
      <c r="C570" s="6" t="n">
        <v>45850</v>
      </c>
      <c r="D570" s="5" t="s">
        <v>15</v>
      </c>
      <c r="E570" s="7" t="n">
        <v>9830</v>
      </c>
      <c r="F570" s="7" t="n">
        <v>8700</v>
      </c>
      <c r="G570" s="7" t="n">
        <v>72</v>
      </c>
      <c r="H570" s="7" t="n">
        <v>37</v>
      </c>
      <c r="I570" s="7" t="n">
        <v>32</v>
      </c>
      <c r="J570" s="8" t="n">
        <v>1.62</v>
      </c>
      <c r="K570" s="9" t="n">
        <f aca="false">(G570+H570+I570)/E570</f>
        <v>0.0143438453713123</v>
      </c>
    </row>
    <row r="571" customFormat="false" ht="14.25" hidden="false" customHeight="true" outlineLevel="0" collapsed="false">
      <c r="A571" s="5" t="s">
        <v>595</v>
      </c>
      <c r="B571" s="5" t="s">
        <v>18</v>
      </c>
      <c r="C571" s="6" t="n">
        <v>45414</v>
      </c>
      <c r="D571" s="5" t="s">
        <v>19</v>
      </c>
      <c r="E571" s="7" t="n">
        <v>16856</v>
      </c>
      <c r="F571" s="7" t="n">
        <v>8393</v>
      </c>
      <c r="G571" s="7" t="n">
        <v>481</v>
      </c>
      <c r="H571" s="7" t="n">
        <v>124</v>
      </c>
      <c r="I571" s="7" t="n">
        <v>61</v>
      </c>
      <c r="J571" s="8" t="n">
        <v>7.94</v>
      </c>
      <c r="K571" s="9" t="n">
        <f aca="false">(G571+H571+I571)/E571</f>
        <v>0.0395111532985287</v>
      </c>
    </row>
    <row r="572" customFormat="false" ht="14.25" hidden="false" customHeight="true" outlineLevel="0" collapsed="false">
      <c r="A572" s="5" t="s">
        <v>596</v>
      </c>
      <c r="B572" s="5" t="s">
        <v>18</v>
      </c>
      <c r="C572" s="6" t="n">
        <v>45704</v>
      </c>
      <c r="D572" s="5" t="s">
        <v>26</v>
      </c>
      <c r="E572" s="7" t="n">
        <v>10726</v>
      </c>
      <c r="F572" s="7" t="n">
        <v>8238</v>
      </c>
      <c r="G572" s="7" t="n">
        <v>610</v>
      </c>
      <c r="H572" s="7" t="n">
        <v>72</v>
      </c>
      <c r="I572" s="7" t="n">
        <v>12</v>
      </c>
      <c r="J572" s="8" t="n">
        <v>8.42</v>
      </c>
      <c r="K572" s="9" t="n">
        <f aca="false">(G572+H572+I572)/E572</f>
        <v>0.0647025918329293</v>
      </c>
    </row>
    <row r="573" customFormat="false" ht="14.25" hidden="false" customHeight="true" outlineLevel="0" collapsed="false">
      <c r="A573" s="5" t="s">
        <v>597</v>
      </c>
      <c r="B573" s="5" t="s">
        <v>14</v>
      </c>
      <c r="C573" s="6" t="n">
        <v>45552</v>
      </c>
      <c r="D573" s="5" t="s">
        <v>19</v>
      </c>
      <c r="E573" s="7" t="n">
        <v>430</v>
      </c>
      <c r="F573" s="7" t="n">
        <v>140</v>
      </c>
      <c r="G573" s="7" t="n">
        <v>4</v>
      </c>
      <c r="H573" s="7" t="n">
        <v>0</v>
      </c>
      <c r="I573" s="7" t="n">
        <v>2</v>
      </c>
      <c r="J573" s="8" t="n">
        <v>4.29</v>
      </c>
      <c r="K573" s="9" t="n">
        <f aca="false">(G573+H573+I573)/E573</f>
        <v>0.013953488372093</v>
      </c>
    </row>
    <row r="574" customFormat="false" ht="14.25" hidden="false" customHeight="true" outlineLevel="0" collapsed="false">
      <c r="A574" s="5" t="s">
        <v>598</v>
      </c>
      <c r="B574" s="5" t="s">
        <v>18</v>
      </c>
      <c r="C574" s="6" t="n">
        <v>45542</v>
      </c>
      <c r="D574" s="5" t="s">
        <v>23</v>
      </c>
      <c r="E574" s="7" t="n">
        <v>39894</v>
      </c>
      <c r="F574" s="7" t="n">
        <v>18610</v>
      </c>
      <c r="G574" s="7" t="n">
        <v>1028</v>
      </c>
      <c r="H574" s="7" t="n">
        <v>93</v>
      </c>
      <c r="I574" s="7" t="n">
        <v>49</v>
      </c>
      <c r="J574" s="8" t="n">
        <v>6.29</v>
      </c>
      <c r="K574" s="9" t="n">
        <f aca="false">(G574+H574+I574)/E574</f>
        <v>0.0293277184539028</v>
      </c>
    </row>
    <row r="575" customFormat="false" ht="14.25" hidden="false" customHeight="true" outlineLevel="0" collapsed="false">
      <c r="A575" s="5" t="s">
        <v>599</v>
      </c>
      <c r="B575" s="5" t="s">
        <v>22</v>
      </c>
      <c r="C575" s="6" t="n">
        <v>45870</v>
      </c>
      <c r="D575" s="5" t="s">
        <v>19</v>
      </c>
      <c r="E575" s="7" t="n">
        <v>8400</v>
      </c>
      <c r="F575" s="7" t="n">
        <v>4395</v>
      </c>
      <c r="G575" s="7" t="n">
        <v>82</v>
      </c>
      <c r="H575" s="7" t="n">
        <v>30</v>
      </c>
      <c r="I575" s="7" t="n">
        <v>10</v>
      </c>
      <c r="J575" s="8" t="n">
        <v>2.78</v>
      </c>
      <c r="K575" s="9" t="n">
        <f aca="false">(G575+H575+I575)/E575</f>
        <v>0.0145238095238095</v>
      </c>
    </row>
    <row r="576" customFormat="false" ht="14.25" hidden="false" customHeight="true" outlineLevel="0" collapsed="false">
      <c r="A576" s="5" t="s">
        <v>600</v>
      </c>
      <c r="B576" s="5" t="s">
        <v>14</v>
      </c>
      <c r="C576" s="6" t="n">
        <v>45713</v>
      </c>
      <c r="D576" s="5" t="s">
        <v>23</v>
      </c>
      <c r="E576" s="7" t="n">
        <v>8815</v>
      </c>
      <c r="F576" s="7" t="n">
        <v>4648</v>
      </c>
      <c r="G576" s="7" t="n">
        <v>155</v>
      </c>
      <c r="H576" s="7" t="n">
        <v>83</v>
      </c>
      <c r="I576" s="7" t="n">
        <v>59</v>
      </c>
      <c r="J576" s="8" t="n">
        <v>6.39</v>
      </c>
      <c r="K576" s="9" t="n">
        <f aca="false">(G576+H576+I576)/E576</f>
        <v>0.0336925694838344</v>
      </c>
    </row>
    <row r="577" customFormat="false" ht="14.25" hidden="false" customHeight="true" outlineLevel="0" collapsed="false">
      <c r="A577" s="5" t="s">
        <v>601</v>
      </c>
      <c r="B577" s="5" t="s">
        <v>25</v>
      </c>
      <c r="C577" s="6" t="n">
        <v>45360</v>
      </c>
      <c r="D577" s="5" t="s">
        <v>26</v>
      </c>
      <c r="E577" s="7" t="n">
        <v>31337</v>
      </c>
      <c r="F577" s="7" t="n">
        <v>18849</v>
      </c>
      <c r="G577" s="7" t="n">
        <v>1063</v>
      </c>
      <c r="H577" s="7" t="n">
        <v>213</v>
      </c>
      <c r="I577" s="7" t="n">
        <v>558</v>
      </c>
      <c r="J577" s="8" t="n">
        <v>9.73</v>
      </c>
      <c r="K577" s="9" t="n">
        <f aca="false">(G577+H577+I577)/E577</f>
        <v>0.0585250662156556</v>
      </c>
    </row>
    <row r="578" customFormat="false" ht="14.25" hidden="false" customHeight="true" outlineLevel="0" collapsed="false">
      <c r="A578" s="5" t="s">
        <v>602</v>
      </c>
      <c r="B578" s="5" t="s">
        <v>18</v>
      </c>
      <c r="C578" s="6" t="n">
        <v>45323</v>
      </c>
      <c r="D578" s="5" t="s">
        <v>28</v>
      </c>
      <c r="E578" s="7" t="n">
        <v>40741</v>
      </c>
      <c r="F578" s="7" t="n">
        <v>30669</v>
      </c>
      <c r="G578" s="7" t="n">
        <v>2358</v>
      </c>
      <c r="H578" s="7" t="n">
        <v>373</v>
      </c>
      <c r="I578" s="7" t="n">
        <v>142</v>
      </c>
      <c r="J578" s="8" t="n">
        <v>9.37</v>
      </c>
      <c r="K578" s="9" t="n">
        <f aca="false">(G578+H578+I578)/E578</f>
        <v>0.0705186421540954</v>
      </c>
    </row>
    <row r="579" customFormat="false" ht="14.25" hidden="false" customHeight="true" outlineLevel="0" collapsed="false">
      <c r="A579" s="5" t="s">
        <v>603</v>
      </c>
      <c r="B579" s="5" t="s">
        <v>18</v>
      </c>
      <c r="C579" s="6" t="n">
        <v>45836</v>
      </c>
      <c r="D579" s="5" t="s">
        <v>23</v>
      </c>
      <c r="E579" s="7" t="n">
        <v>90765</v>
      </c>
      <c r="F579" s="7" t="n">
        <v>39448</v>
      </c>
      <c r="G579" s="7" t="n">
        <v>3115</v>
      </c>
      <c r="H579" s="7" t="n">
        <v>465</v>
      </c>
      <c r="I579" s="7" t="n">
        <v>278</v>
      </c>
      <c r="J579" s="8" t="n">
        <v>9.78</v>
      </c>
      <c r="K579" s="9" t="n">
        <f aca="false">(G579+H579+I579)/E579</f>
        <v>0.0425053710130557</v>
      </c>
    </row>
    <row r="580" customFormat="false" ht="14.25" hidden="false" customHeight="true" outlineLevel="0" collapsed="false">
      <c r="A580" s="5" t="s">
        <v>604</v>
      </c>
      <c r="B580" s="5" t="s">
        <v>14</v>
      </c>
      <c r="C580" s="6" t="n">
        <v>45566</v>
      </c>
      <c r="D580" s="5" t="s">
        <v>23</v>
      </c>
      <c r="E580" s="7" t="n">
        <v>59087</v>
      </c>
      <c r="F580" s="7" t="n">
        <v>26659</v>
      </c>
      <c r="G580" s="7" t="n">
        <v>1037</v>
      </c>
      <c r="H580" s="7" t="n">
        <v>255</v>
      </c>
      <c r="I580" s="7" t="n">
        <v>412</v>
      </c>
      <c r="J580" s="8" t="n">
        <v>6.39</v>
      </c>
      <c r="K580" s="9" t="n">
        <f aca="false">(G580+H580+I580)/E580</f>
        <v>0.0288388308765041</v>
      </c>
    </row>
    <row r="581" customFormat="false" ht="14.25" hidden="false" customHeight="true" outlineLevel="0" collapsed="false">
      <c r="A581" s="5" t="s">
        <v>605</v>
      </c>
      <c r="B581" s="5" t="s">
        <v>33</v>
      </c>
      <c r="C581" s="6" t="n">
        <v>45994</v>
      </c>
      <c r="D581" s="5" t="s">
        <v>19</v>
      </c>
      <c r="E581" s="7" t="n">
        <v>10178</v>
      </c>
      <c r="F581" s="7" t="n">
        <v>6696</v>
      </c>
      <c r="G581" s="7" t="n">
        <v>230</v>
      </c>
      <c r="H581" s="7" t="n">
        <v>115</v>
      </c>
      <c r="I581" s="7" t="n">
        <v>33</v>
      </c>
      <c r="J581" s="8" t="n">
        <v>5.65</v>
      </c>
      <c r="K581" s="9" t="n">
        <f aca="false">(G581+H581+I581)/E581</f>
        <v>0.0371389270976616</v>
      </c>
    </row>
    <row r="582" customFormat="false" ht="14.25" hidden="false" customHeight="true" outlineLevel="0" collapsed="false">
      <c r="A582" s="5" t="s">
        <v>606</v>
      </c>
      <c r="B582" s="5" t="s">
        <v>25</v>
      </c>
      <c r="C582" s="6" t="n">
        <v>45830</v>
      </c>
      <c r="D582" s="5" t="s">
        <v>26</v>
      </c>
      <c r="E582" s="7" t="n">
        <v>93677</v>
      </c>
      <c r="F582" s="7" t="n">
        <v>47760</v>
      </c>
      <c r="G582" s="7" t="n">
        <v>2519</v>
      </c>
      <c r="H582" s="7" t="n">
        <v>767</v>
      </c>
      <c r="I582" s="7" t="n">
        <v>1608</v>
      </c>
      <c r="J582" s="8" t="n">
        <v>10.25</v>
      </c>
      <c r="K582" s="9" t="n">
        <f aca="false">(G582+H582+I582)/E582</f>
        <v>0.05224334681939</v>
      </c>
    </row>
    <row r="583" customFormat="false" ht="14.25" hidden="false" customHeight="true" outlineLevel="0" collapsed="false">
      <c r="A583" s="5" t="s">
        <v>607</v>
      </c>
      <c r="B583" s="5" t="s">
        <v>18</v>
      </c>
      <c r="C583" s="6" t="n">
        <v>45504</v>
      </c>
      <c r="D583" s="5" t="s">
        <v>28</v>
      </c>
      <c r="E583" s="7" t="n">
        <v>72995</v>
      </c>
      <c r="F583" s="7" t="n">
        <v>57555</v>
      </c>
      <c r="G583" s="7" t="n">
        <v>3273</v>
      </c>
      <c r="H583" s="7" t="n">
        <v>169</v>
      </c>
      <c r="I583" s="7" t="n">
        <v>105</v>
      </c>
      <c r="J583" s="8" t="n">
        <v>6.16</v>
      </c>
      <c r="K583" s="9" t="n">
        <f aca="false">(G583+H583+I583)/E583</f>
        <v>0.0485923693403658</v>
      </c>
    </row>
    <row r="584" customFormat="false" ht="14.25" hidden="false" customHeight="true" outlineLevel="0" collapsed="false">
      <c r="A584" s="5" t="s">
        <v>608</v>
      </c>
      <c r="B584" s="5" t="s">
        <v>14</v>
      </c>
      <c r="C584" s="6" t="n">
        <v>45944</v>
      </c>
      <c r="D584" s="5" t="s">
        <v>15</v>
      </c>
      <c r="E584" s="7" t="n">
        <v>4486</v>
      </c>
      <c r="F584" s="7" t="n">
        <v>1431</v>
      </c>
      <c r="G584" s="7" t="n">
        <v>29</v>
      </c>
      <c r="H584" s="7" t="n">
        <v>9</v>
      </c>
      <c r="I584" s="7" t="n">
        <v>29</v>
      </c>
      <c r="J584" s="8" t="n">
        <v>4.68</v>
      </c>
      <c r="K584" s="9" t="n">
        <f aca="false">(G584+H584+I584)/E584</f>
        <v>0.0149353544360232</v>
      </c>
    </row>
    <row r="585" customFormat="false" ht="14.25" hidden="false" customHeight="true" outlineLevel="0" collapsed="false">
      <c r="A585" s="5" t="s">
        <v>609</v>
      </c>
      <c r="B585" s="5" t="s">
        <v>25</v>
      </c>
      <c r="C585" s="6" t="n">
        <v>45901</v>
      </c>
      <c r="D585" s="5" t="s">
        <v>23</v>
      </c>
      <c r="E585" s="7" t="n">
        <v>237487</v>
      </c>
      <c r="F585" s="7" t="n">
        <v>99914</v>
      </c>
      <c r="G585" s="7" t="n">
        <v>8276</v>
      </c>
      <c r="H585" s="7" t="n">
        <v>1453</v>
      </c>
      <c r="I585" s="7" t="n">
        <v>1566</v>
      </c>
      <c r="J585" s="8" t="n">
        <v>11.3</v>
      </c>
      <c r="K585" s="9" t="n">
        <f aca="false">(G585+H585+I585)/E585</f>
        <v>0.0475604980483142</v>
      </c>
    </row>
    <row r="586" customFormat="false" ht="14.25" hidden="false" customHeight="true" outlineLevel="0" collapsed="false">
      <c r="A586" s="5" t="s">
        <v>610</v>
      </c>
      <c r="B586" s="5" t="s">
        <v>14</v>
      </c>
      <c r="C586" s="6" t="n">
        <v>45691</v>
      </c>
      <c r="D586" s="5" t="s">
        <v>15</v>
      </c>
      <c r="E586" s="7" t="n">
        <v>10170</v>
      </c>
      <c r="F586" s="7" t="n">
        <v>4591</v>
      </c>
      <c r="G586" s="7" t="n">
        <v>190</v>
      </c>
      <c r="H586" s="7" t="n">
        <v>42</v>
      </c>
      <c r="I586" s="7" t="n">
        <v>85</v>
      </c>
      <c r="J586" s="8" t="n">
        <v>6.9</v>
      </c>
      <c r="K586" s="9" t="n">
        <f aca="false">(G586+H586+I586)/E586</f>
        <v>0.0311701081612586</v>
      </c>
    </row>
    <row r="587" customFormat="false" ht="14.25" hidden="false" customHeight="true" outlineLevel="0" collapsed="false">
      <c r="A587" s="5" t="s">
        <v>611</v>
      </c>
      <c r="B587" s="5" t="s">
        <v>14</v>
      </c>
      <c r="C587" s="6" t="n">
        <v>45495</v>
      </c>
      <c r="D587" s="5" t="s">
        <v>28</v>
      </c>
      <c r="E587" s="7" t="n">
        <v>27574</v>
      </c>
      <c r="F587" s="7" t="n">
        <v>8874</v>
      </c>
      <c r="G587" s="7" t="n">
        <v>182</v>
      </c>
      <c r="H587" s="7" t="n">
        <v>129</v>
      </c>
      <c r="I587" s="7" t="n">
        <v>83</v>
      </c>
      <c r="J587" s="8" t="n">
        <v>4.44</v>
      </c>
      <c r="K587" s="9" t="n">
        <f aca="false">(G587+H587+I587)/E587</f>
        <v>0.0142888228040908</v>
      </c>
    </row>
    <row r="588" customFormat="false" ht="14.25" hidden="false" customHeight="true" outlineLevel="0" collapsed="false">
      <c r="A588" s="5" t="s">
        <v>612</v>
      </c>
      <c r="B588" s="5" t="s">
        <v>25</v>
      </c>
      <c r="C588" s="6" t="n">
        <v>45511</v>
      </c>
      <c r="D588" s="5" t="s">
        <v>23</v>
      </c>
      <c r="E588" s="7" t="n">
        <v>352524</v>
      </c>
      <c r="F588" s="7" t="n">
        <v>141986</v>
      </c>
      <c r="G588" s="7" t="n">
        <v>11532</v>
      </c>
      <c r="H588" s="7" t="n">
        <v>983</v>
      </c>
      <c r="I588" s="7" t="n">
        <v>2854</v>
      </c>
      <c r="J588" s="8" t="n">
        <v>10.82</v>
      </c>
      <c r="K588" s="9" t="n">
        <f aca="false">(G588+H588+I588)/E588</f>
        <v>0.0435970316914593</v>
      </c>
    </row>
    <row r="589" customFormat="false" ht="14.25" hidden="false" customHeight="true" outlineLevel="0" collapsed="false">
      <c r="A589" s="5" t="s">
        <v>613</v>
      </c>
      <c r="B589" s="5" t="s">
        <v>14</v>
      </c>
      <c r="C589" s="6" t="n">
        <v>45761</v>
      </c>
      <c r="D589" s="5" t="s">
        <v>28</v>
      </c>
      <c r="E589" s="7" t="n">
        <v>43587</v>
      </c>
      <c r="F589" s="7" t="n">
        <v>19157</v>
      </c>
      <c r="G589" s="7" t="n">
        <v>349</v>
      </c>
      <c r="H589" s="7" t="n">
        <v>287</v>
      </c>
      <c r="I589" s="7" t="n">
        <v>144</v>
      </c>
      <c r="J589" s="8" t="n">
        <v>4.07</v>
      </c>
      <c r="K589" s="9" t="n">
        <f aca="false">(G589+H589+I589)/E589</f>
        <v>0.0178952439947691</v>
      </c>
    </row>
    <row r="590" customFormat="false" ht="14.25" hidden="false" customHeight="true" outlineLevel="0" collapsed="false">
      <c r="A590" s="5" t="s">
        <v>614</v>
      </c>
      <c r="B590" s="5" t="s">
        <v>25</v>
      </c>
      <c r="C590" s="6" t="n">
        <v>45735</v>
      </c>
      <c r="D590" s="5" t="s">
        <v>26</v>
      </c>
      <c r="E590" s="7" t="n">
        <v>212134</v>
      </c>
      <c r="F590" s="7" t="n">
        <v>64001</v>
      </c>
      <c r="G590" s="7" t="n">
        <v>7316</v>
      </c>
      <c r="H590" s="7" t="n">
        <v>629</v>
      </c>
      <c r="I590" s="7" t="n">
        <v>1698</v>
      </c>
      <c r="J590" s="8" t="n">
        <v>15.07</v>
      </c>
      <c r="K590" s="9" t="n">
        <f aca="false">(G590+H590+I590)/E590</f>
        <v>0.0454571167281058</v>
      </c>
    </row>
    <row r="591" customFormat="false" ht="14.25" hidden="false" customHeight="true" outlineLevel="0" collapsed="false">
      <c r="A591" s="5" t="s">
        <v>615</v>
      </c>
      <c r="B591" s="5" t="s">
        <v>18</v>
      </c>
      <c r="C591" s="6" t="n">
        <v>46007</v>
      </c>
      <c r="D591" s="5" t="s">
        <v>28</v>
      </c>
      <c r="E591" s="7" t="n">
        <v>40971</v>
      </c>
      <c r="F591" s="7" t="n">
        <v>24583</v>
      </c>
      <c r="G591" s="7" t="n">
        <v>1757</v>
      </c>
      <c r="H591" s="7" t="n">
        <v>204</v>
      </c>
      <c r="I591" s="7" t="n">
        <v>198</v>
      </c>
      <c r="J591" s="8" t="n">
        <v>8.78</v>
      </c>
      <c r="K591" s="9" t="n">
        <f aca="false">(G591+H591+I591)/E591</f>
        <v>0.0526958092309194</v>
      </c>
    </row>
    <row r="592" customFormat="false" ht="14.25" hidden="false" customHeight="true" outlineLevel="0" collapsed="false">
      <c r="A592" s="5" t="s">
        <v>616</v>
      </c>
      <c r="B592" s="5" t="s">
        <v>25</v>
      </c>
      <c r="C592" s="6" t="n">
        <v>45499</v>
      </c>
      <c r="D592" s="5" t="s">
        <v>26</v>
      </c>
      <c r="E592" s="7" t="n">
        <v>335537</v>
      </c>
      <c r="F592" s="7" t="n">
        <v>139187</v>
      </c>
      <c r="G592" s="7" t="n">
        <v>5211</v>
      </c>
      <c r="H592" s="7" t="n">
        <v>2098</v>
      </c>
      <c r="I592" s="7" t="n">
        <v>4949</v>
      </c>
      <c r="J592" s="8" t="n">
        <v>8.81</v>
      </c>
      <c r="K592" s="9" t="n">
        <f aca="false">(G592+H592+I592)/E592</f>
        <v>0.0365324837499292</v>
      </c>
    </row>
    <row r="593" customFormat="false" ht="14.25" hidden="false" customHeight="true" outlineLevel="0" collapsed="false">
      <c r="A593" s="5" t="s">
        <v>617</v>
      </c>
      <c r="B593" s="5" t="s">
        <v>25</v>
      </c>
      <c r="C593" s="6" t="n">
        <v>45671</v>
      </c>
      <c r="D593" s="5" t="s">
        <v>26</v>
      </c>
      <c r="E593" s="7" t="n">
        <v>131357</v>
      </c>
      <c r="F593" s="7" t="n">
        <v>89146</v>
      </c>
      <c r="G593" s="7" t="n">
        <v>2771</v>
      </c>
      <c r="H593" s="7" t="n">
        <v>2281</v>
      </c>
      <c r="I593" s="7" t="n">
        <v>1327</v>
      </c>
      <c r="J593" s="8" t="n">
        <v>7.16</v>
      </c>
      <c r="K593" s="9" t="n">
        <f aca="false">(G593+H593+I593)/E593</f>
        <v>0.0485623149127949</v>
      </c>
    </row>
    <row r="594" customFormat="false" ht="14.25" hidden="false" customHeight="true" outlineLevel="0" collapsed="false">
      <c r="A594" s="5" t="s">
        <v>618</v>
      </c>
      <c r="B594" s="5" t="s">
        <v>14</v>
      </c>
      <c r="C594" s="6" t="n">
        <v>46016</v>
      </c>
      <c r="D594" s="5" t="s">
        <v>19</v>
      </c>
      <c r="E594" s="7" t="n">
        <v>5270</v>
      </c>
      <c r="F594" s="7" t="n">
        <v>3016</v>
      </c>
      <c r="G594" s="7" t="n">
        <v>56</v>
      </c>
      <c r="H594" s="7" t="n">
        <v>48</v>
      </c>
      <c r="I594" s="7" t="n">
        <v>36</v>
      </c>
      <c r="J594" s="8" t="n">
        <v>4.64</v>
      </c>
      <c r="K594" s="9" t="n">
        <f aca="false">(G594+H594+I594)/E594</f>
        <v>0.0265654648956357</v>
      </c>
    </row>
    <row r="595" customFormat="false" ht="14.25" hidden="false" customHeight="true" outlineLevel="0" collapsed="false">
      <c r="A595" s="5" t="s">
        <v>619</v>
      </c>
      <c r="B595" s="5" t="s">
        <v>22</v>
      </c>
      <c r="C595" s="6" t="n">
        <v>45437</v>
      </c>
      <c r="D595" s="5" t="s">
        <v>19</v>
      </c>
      <c r="E595" s="7" t="n">
        <v>4484</v>
      </c>
      <c r="F595" s="7" t="n">
        <v>2836</v>
      </c>
      <c r="G595" s="7" t="n">
        <v>65</v>
      </c>
      <c r="H595" s="7" t="n">
        <v>11</v>
      </c>
      <c r="I595" s="7" t="n">
        <v>11</v>
      </c>
      <c r="J595" s="8" t="n">
        <v>3.07</v>
      </c>
      <c r="K595" s="9" t="n">
        <f aca="false">(G595+H595+I595)/E595</f>
        <v>0.0194023193577163</v>
      </c>
    </row>
    <row r="596" customFormat="false" ht="14.25" hidden="false" customHeight="true" outlineLevel="0" collapsed="false">
      <c r="A596" s="5" t="s">
        <v>620</v>
      </c>
      <c r="B596" s="5" t="s">
        <v>18</v>
      </c>
      <c r="C596" s="6" t="n">
        <v>45996</v>
      </c>
      <c r="D596" s="5" t="s">
        <v>19</v>
      </c>
      <c r="E596" s="7" t="n">
        <v>20916</v>
      </c>
      <c r="F596" s="7" t="n">
        <v>12784</v>
      </c>
      <c r="G596" s="7" t="n">
        <v>388</v>
      </c>
      <c r="H596" s="7" t="n">
        <v>93</v>
      </c>
      <c r="I596" s="7" t="n">
        <v>102</v>
      </c>
      <c r="J596" s="8" t="n">
        <v>4.56</v>
      </c>
      <c r="K596" s="9" t="n">
        <f aca="false">(G596+H596+I596)/E596</f>
        <v>0.0278733983553261</v>
      </c>
    </row>
    <row r="597" customFormat="false" ht="14.25" hidden="false" customHeight="true" outlineLevel="0" collapsed="false">
      <c r="A597" s="5" t="s">
        <v>621</v>
      </c>
      <c r="B597" s="5" t="s">
        <v>33</v>
      </c>
      <c r="C597" s="6" t="n">
        <v>45742</v>
      </c>
      <c r="D597" s="5" t="s">
        <v>28</v>
      </c>
      <c r="E597" s="7" t="n">
        <v>5694</v>
      </c>
      <c r="F597" s="7" t="n">
        <v>2972</v>
      </c>
      <c r="G597" s="7" t="n">
        <v>80</v>
      </c>
      <c r="H597" s="7" t="n">
        <v>16</v>
      </c>
      <c r="I597" s="7" t="n">
        <v>29</v>
      </c>
      <c r="J597" s="8" t="n">
        <v>4.21</v>
      </c>
      <c r="K597" s="9" t="n">
        <f aca="false">(G597+H597+I597)/E597</f>
        <v>0.021952932911837</v>
      </c>
    </row>
    <row r="598" customFormat="false" ht="14.25" hidden="false" customHeight="true" outlineLevel="0" collapsed="false">
      <c r="A598" s="5" t="s">
        <v>622</v>
      </c>
      <c r="B598" s="5" t="s">
        <v>22</v>
      </c>
      <c r="C598" s="6" t="n">
        <v>45524</v>
      </c>
      <c r="D598" s="5" t="s">
        <v>19</v>
      </c>
      <c r="E598" s="7" t="n">
        <v>19943</v>
      </c>
      <c r="F598" s="7" t="n">
        <v>13635</v>
      </c>
      <c r="G598" s="7" t="n">
        <v>284</v>
      </c>
      <c r="H598" s="7" t="n">
        <v>18</v>
      </c>
      <c r="I598" s="7" t="n">
        <v>188</v>
      </c>
      <c r="J598" s="8" t="n">
        <v>3.59</v>
      </c>
      <c r="K598" s="9" t="n">
        <f aca="false">(G598+H598+I598)/E598</f>
        <v>0.0245700245700246</v>
      </c>
    </row>
    <row r="599" customFormat="false" ht="14.25" hidden="false" customHeight="true" outlineLevel="0" collapsed="false">
      <c r="A599" s="5" t="s">
        <v>623</v>
      </c>
      <c r="B599" s="5" t="s">
        <v>18</v>
      </c>
      <c r="C599" s="6" t="n">
        <v>45538</v>
      </c>
      <c r="D599" s="5" t="s">
        <v>23</v>
      </c>
      <c r="E599" s="7" t="n">
        <v>32370</v>
      </c>
      <c r="F599" s="7" t="n">
        <v>19733</v>
      </c>
      <c r="G599" s="7" t="n">
        <v>511</v>
      </c>
      <c r="H599" s="7" t="n">
        <v>174</v>
      </c>
      <c r="I599" s="7" t="n">
        <v>134</v>
      </c>
      <c r="J599" s="8" t="n">
        <v>4.15</v>
      </c>
      <c r="K599" s="9" t="n">
        <f aca="false">(G599+H599+I599)/E599</f>
        <v>0.0253012048192771</v>
      </c>
    </row>
    <row r="600" customFormat="false" ht="14.25" hidden="false" customHeight="true" outlineLevel="0" collapsed="false">
      <c r="A600" s="5" t="s">
        <v>624</v>
      </c>
      <c r="B600" s="5" t="s">
        <v>33</v>
      </c>
      <c r="C600" s="6" t="n">
        <v>45929</v>
      </c>
      <c r="D600" s="5" t="s">
        <v>15</v>
      </c>
      <c r="E600" s="7" t="n">
        <v>3743</v>
      </c>
      <c r="F600" s="7" t="n">
        <v>2527</v>
      </c>
      <c r="G600" s="7" t="n">
        <v>46</v>
      </c>
      <c r="H600" s="7" t="n">
        <v>54</v>
      </c>
      <c r="I600" s="7" t="n">
        <v>20</v>
      </c>
      <c r="J600" s="8" t="n">
        <v>4.75</v>
      </c>
      <c r="K600" s="9" t="n">
        <f aca="false">(G600+H600+I600)/E600</f>
        <v>0.0320598450440823</v>
      </c>
    </row>
    <row r="601" customFormat="false" ht="14.25" hidden="false" customHeight="true" outlineLevel="0" collapsed="false">
      <c r="A601" s="5" t="s">
        <v>625</v>
      </c>
      <c r="B601" s="5" t="s">
        <v>14</v>
      </c>
      <c r="C601" s="6" t="n">
        <v>45782</v>
      </c>
      <c r="D601" s="5" t="s">
        <v>28</v>
      </c>
      <c r="E601" s="7" t="n">
        <v>985</v>
      </c>
      <c r="F601" s="7" t="n">
        <v>595</v>
      </c>
      <c r="G601" s="7" t="n">
        <v>12</v>
      </c>
      <c r="H601" s="7" t="n">
        <v>11</v>
      </c>
      <c r="I601" s="7" t="n">
        <v>16</v>
      </c>
      <c r="J601" s="8" t="n">
        <v>6.55</v>
      </c>
      <c r="K601" s="9" t="n">
        <f aca="false">(G601+H601+I601)/E601</f>
        <v>0.0395939086294416</v>
      </c>
    </row>
    <row r="602" customFormat="false" ht="14.25" hidden="false" customHeight="true" outlineLevel="0" collapsed="false">
      <c r="A602" s="5" t="s">
        <v>626</v>
      </c>
      <c r="B602" s="5" t="s">
        <v>18</v>
      </c>
      <c r="C602" s="6" t="n">
        <v>45965</v>
      </c>
      <c r="D602" s="5" t="s">
        <v>28</v>
      </c>
      <c r="E602" s="7" t="n">
        <v>59877</v>
      </c>
      <c r="F602" s="7" t="n">
        <v>28609</v>
      </c>
      <c r="G602" s="7" t="n">
        <v>1482</v>
      </c>
      <c r="H602" s="7" t="n">
        <v>114</v>
      </c>
      <c r="I602" s="7" t="n">
        <v>34</v>
      </c>
      <c r="J602" s="8" t="n">
        <v>5.7</v>
      </c>
      <c r="K602" s="9" t="n">
        <f aca="false">(G602+H602+I602)/E602</f>
        <v>0.027222472735775</v>
      </c>
    </row>
    <row r="603" customFormat="false" ht="14.25" hidden="false" customHeight="true" outlineLevel="0" collapsed="false">
      <c r="A603" s="5" t="s">
        <v>627</v>
      </c>
      <c r="B603" s="5" t="s">
        <v>22</v>
      </c>
      <c r="C603" s="6" t="n">
        <v>45551</v>
      </c>
      <c r="D603" s="5" t="s">
        <v>15</v>
      </c>
      <c r="E603" s="7" t="n">
        <v>13715</v>
      </c>
      <c r="F603" s="7" t="n">
        <v>9874</v>
      </c>
      <c r="G603" s="7" t="n">
        <v>126</v>
      </c>
      <c r="H603" s="7" t="n">
        <v>78</v>
      </c>
      <c r="I603" s="7" t="n">
        <v>183</v>
      </c>
      <c r="J603" s="8" t="n">
        <v>3.92</v>
      </c>
      <c r="K603" s="9" t="n">
        <f aca="false">(G603+H603+I603)/E603</f>
        <v>0.0282172803499818</v>
      </c>
    </row>
    <row r="604" customFormat="false" ht="14.25" hidden="false" customHeight="true" outlineLevel="0" collapsed="false">
      <c r="A604" s="5" t="s">
        <v>628</v>
      </c>
      <c r="B604" s="5" t="s">
        <v>14</v>
      </c>
      <c r="C604" s="6" t="n">
        <v>45751</v>
      </c>
      <c r="D604" s="5" t="s">
        <v>23</v>
      </c>
      <c r="E604" s="7" t="n">
        <v>64617</v>
      </c>
      <c r="F604" s="7" t="n">
        <v>29828</v>
      </c>
      <c r="G604" s="7" t="n">
        <v>1223</v>
      </c>
      <c r="H604" s="7" t="n">
        <v>462</v>
      </c>
      <c r="I604" s="7" t="n">
        <v>805</v>
      </c>
      <c r="J604" s="8" t="n">
        <v>8.35</v>
      </c>
      <c r="K604" s="9" t="n">
        <f aca="false">(G604+H604+I604)/E604</f>
        <v>0.0385347509169414</v>
      </c>
    </row>
    <row r="605" customFormat="false" ht="14.25" hidden="false" customHeight="true" outlineLevel="0" collapsed="false">
      <c r="A605" s="5" t="s">
        <v>629</v>
      </c>
      <c r="B605" s="5" t="s">
        <v>22</v>
      </c>
      <c r="C605" s="6" t="n">
        <v>45865</v>
      </c>
      <c r="D605" s="5" t="s">
        <v>23</v>
      </c>
      <c r="E605" s="7" t="n">
        <v>51684</v>
      </c>
      <c r="F605" s="7" t="n">
        <v>33219</v>
      </c>
      <c r="G605" s="7" t="n">
        <v>461</v>
      </c>
      <c r="H605" s="7" t="n">
        <v>233</v>
      </c>
      <c r="I605" s="7" t="n">
        <v>575</v>
      </c>
      <c r="J605" s="8" t="n">
        <v>3.82</v>
      </c>
      <c r="K605" s="9" t="n">
        <f aca="false">(G605+H605+I605)/E605</f>
        <v>0.0245530531692593</v>
      </c>
    </row>
    <row r="606" customFormat="false" ht="14.25" hidden="false" customHeight="true" outlineLevel="0" collapsed="false">
      <c r="A606" s="5" t="s">
        <v>630</v>
      </c>
      <c r="B606" s="5" t="s">
        <v>33</v>
      </c>
      <c r="C606" s="6" t="n">
        <v>45807</v>
      </c>
      <c r="D606" s="5" t="s">
        <v>15</v>
      </c>
      <c r="E606" s="7" t="n">
        <v>12490</v>
      </c>
      <c r="F606" s="7" t="n">
        <v>5469</v>
      </c>
      <c r="G606" s="7" t="n">
        <v>277</v>
      </c>
      <c r="H606" s="7" t="n">
        <v>108</v>
      </c>
      <c r="I606" s="7" t="n">
        <v>34</v>
      </c>
      <c r="J606" s="8" t="n">
        <v>7.66</v>
      </c>
      <c r="K606" s="9" t="n">
        <f aca="false">(G606+H606+I606)/E606</f>
        <v>0.033546837469976</v>
      </c>
    </row>
    <row r="607" customFormat="false" ht="14.25" hidden="false" customHeight="true" outlineLevel="0" collapsed="false">
      <c r="A607" s="5" t="s">
        <v>631</v>
      </c>
      <c r="B607" s="5" t="s">
        <v>33</v>
      </c>
      <c r="C607" s="6" t="n">
        <v>45812</v>
      </c>
      <c r="D607" s="5" t="s">
        <v>28</v>
      </c>
      <c r="E607" s="7" t="n">
        <v>23813</v>
      </c>
      <c r="F607" s="7" t="n">
        <v>9670</v>
      </c>
      <c r="G607" s="7" t="n">
        <v>159</v>
      </c>
      <c r="H607" s="7" t="n">
        <v>65</v>
      </c>
      <c r="I607" s="7" t="n">
        <v>74</v>
      </c>
      <c r="J607" s="8" t="n">
        <v>3.08</v>
      </c>
      <c r="K607" s="9" t="n">
        <f aca="false">(G607+H607+I607)/E607</f>
        <v>0.0125141729307521</v>
      </c>
    </row>
    <row r="608" customFormat="false" ht="14.25" hidden="false" customHeight="true" outlineLevel="0" collapsed="false">
      <c r="A608" s="5" t="s">
        <v>632</v>
      </c>
      <c r="B608" s="5" t="s">
        <v>25</v>
      </c>
      <c r="C608" s="6" t="n">
        <v>45410</v>
      </c>
      <c r="D608" s="5" t="s">
        <v>26</v>
      </c>
      <c r="E608" s="7" t="n">
        <v>257734</v>
      </c>
      <c r="F608" s="7" t="n">
        <v>167895</v>
      </c>
      <c r="G608" s="7" t="n">
        <v>5785</v>
      </c>
      <c r="H608" s="7" t="n">
        <v>1085</v>
      </c>
      <c r="I608" s="7" t="n">
        <v>6677</v>
      </c>
      <c r="J608" s="8" t="n">
        <v>8.07</v>
      </c>
      <c r="K608" s="9" t="n">
        <f aca="false">(G608+H608+I608)/E608</f>
        <v>0.0525619437094058</v>
      </c>
    </row>
    <row r="609" customFormat="false" ht="14.25" hidden="false" customHeight="true" outlineLevel="0" collapsed="false">
      <c r="A609" s="5" t="s">
        <v>633</v>
      </c>
      <c r="B609" s="5" t="s">
        <v>25</v>
      </c>
      <c r="C609" s="6" t="n">
        <v>45561</v>
      </c>
      <c r="D609" s="5" t="s">
        <v>23</v>
      </c>
      <c r="E609" s="7" t="n">
        <v>23805</v>
      </c>
      <c r="F609" s="7" t="n">
        <v>12937</v>
      </c>
      <c r="G609" s="7" t="n">
        <v>946</v>
      </c>
      <c r="H609" s="7" t="n">
        <v>138</v>
      </c>
      <c r="I609" s="7" t="n">
        <v>332</v>
      </c>
      <c r="J609" s="8" t="n">
        <v>10.95</v>
      </c>
      <c r="K609" s="9" t="n">
        <f aca="false">(G609+H609+I609)/E609</f>
        <v>0.0594833018273472</v>
      </c>
    </row>
    <row r="610" customFormat="false" ht="14.25" hidden="false" customHeight="true" outlineLevel="0" collapsed="false">
      <c r="A610" s="5" t="s">
        <v>634</v>
      </c>
      <c r="B610" s="5" t="s">
        <v>25</v>
      </c>
      <c r="C610" s="6" t="n">
        <v>45798</v>
      </c>
      <c r="D610" s="5" t="s">
        <v>26</v>
      </c>
      <c r="E610" s="7" t="n">
        <v>225861</v>
      </c>
      <c r="F610" s="7" t="n">
        <v>80749</v>
      </c>
      <c r="G610" s="7" t="n">
        <v>8334</v>
      </c>
      <c r="H610" s="7" t="n">
        <v>2281</v>
      </c>
      <c r="I610" s="7" t="n">
        <v>2464</v>
      </c>
      <c r="J610" s="8" t="n">
        <v>16.2</v>
      </c>
      <c r="K610" s="9" t="n">
        <f aca="false">(G610+H610+I610)/E610</f>
        <v>0.057907296965833</v>
      </c>
    </row>
    <row r="611" customFormat="false" ht="14.25" hidden="false" customHeight="true" outlineLevel="0" collapsed="false">
      <c r="A611" s="5" t="s">
        <v>635</v>
      </c>
      <c r="B611" s="5" t="s">
        <v>18</v>
      </c>
      <c r="C611" s="6" t="n">
        <v>45886</v>
      </c>
      <c r="D611" s="5" t="s">
        <v>26</v>
      </c>
      <c r="E611" s="7" t="n">
        <v>32439</v>
      </c>
      <c r="F611" s="7" t="n">
        <v>24893</v>
      </c>
      <c r="G611" s="7" t="n">
        <v>1522</v>
      </c>
      <c r="H611" s="7" t="n">
        <v>250</v>
      </c>
      <c r="I611" s="7" t="n">
        <v>126</v>
      </c>
      <c r="J611" s="8" t="n">
        <v>7.62</v>
      </c>
      <c r="K611" s="9" t="n">
        <f aca="false">(G611+H611+I611)/E611</f>
        <v>0.0585098184284349</v>
      </c>
    </row>
    <row r="612" customFormat="false" ht="14.25" hidden="false" customHeight="true" outlineLevel="0" collapsed="false">
      <c r="A612" s="5" t="s">
        <v>636</v>
      </c>
      <c r="B612" s="5" t="s">
        <v>18</v>
      </c>
      <c r="C612" s="6" t="n">
        <v>45473</v>
      </c>
      <c r="D612" s="5" t="s">
        <v>28</v>
      </c>
      <c r="E612" s="7" t="n">
        <v>57901</v>
      </c>
      <c r="F612" s="7" t="n">
        <v>37650</v>
      </c>
      <c r="G612" s="7" t="n">
        <v>1623</v>
      </c>
      <c r="H612" s="7" t="n">
        <v>445</v>
      </c>
      <c r="I612" s="7" t="n">
        <v>126</v>
      </c>
      <c r="J612" s="8" t="n">
        <v>5.83</v>
      </c>
      <c r="K612" s="9" t="n">
        <f aca="false">(G612+H612+I612)/E612</f>
        <v>0.0378922643823077</v>
      </c>
    </row>
    <row r="613" customFormat="false" ht="14.25" hidden="false" customHeight="true" outlineLevel="0" collapsed="false">
      <c r="A613" s="5" t="s">
        <v>637</v>
      </c>
      <c r="B613" s="5" t="s">
        <v>33</v>
      </c>
      <c r="C613" s="6" t="n">
        <v>45794</v>
      </c>
      <c r="D613" s="5" t="s">
        <v>28</v>
      </c>
      <c r="E613" s="7" t="n">
        <v>19096</v>
      </c>
      <c r="F613" s="7" t="n">
        <v>11955</v>
      </c>
      <c r="G613" s="7" t="n">
        <v>182</v>
      </c>
      <c r="H613" s="7" t="n">
        <v>270</v>
      </c>
      <c r="I613" s="7" t="n">
        <v>159</v>
      </c>
      <c r="J613" s="8" t="n">
        <v>5.11</v>
      </c>
      <c r="K613" s="9" t="n">
        <f aca="false">(G613+H613+I613)/E613</f>
        <v>0.0319962295768747</v>
      </c>
    </row>
    <row r="614" customFormat="false" ht="14.25" hidden="false" customHeight="true" outlineLevel="0" collapsed="false">
      <c r="A614" s="5" t="s">
        <v>638</v>
      </c>
      <c r="B614" s="5" t="s">
        <v>18</v>
      </c>
      <c r="C614" s="6" t="n">
        <v>45423</v>
      </c>
      <c r="D614" s="5" t="s">
        <v>19</v>
      </c>
      <c r="E614" s="7" t="n">
        <v>4308</v>
      </c>
      <c r="F614" s="7" t="n">
        <v>2949</v>
      </c>
      <c r="G614" s="7" t="n">
        <v>143</v>
      </c>
      <c r="H614" s="7" t="n">
        <v>12</v>
      </c>
      <c r="I614" s="7" t="n">
        <v>16</v>
      </c>
      <c r="J614" s="8" t="n">
        <v>5.8</v>
      </c>
      <c r="K614" s="9" t="n">
        <f aca="false">(G614+H614+I614)/E614</f>
        <v>0.0396935933147632</v>
      </c>
    </row>
    <row r="615" customFormat="false" ht="14.25" hidden="false" customHeight="true" outlineLevel="0" collapsed="false">
      <c r="A615" s="5" t="s">
        <v>639</v>
      </c>
      <c r="B615" s="5" t="s">
        <v>25</v>
      </c>
      <c r="C615" s="6" t="n">
        <v>45771</v>
      </c>
      <c r="D615" s="5" t="s">
        <v>26</v>
      </c>
      <c r="E615" s="7" t="n">
        <v>374495</v>
      </c>
      <c r="F615" s="7" t="n">
        <v>174291</v>
      </c>
      <c r="G615" s="7" t="n">
        <v>13416</v>
      </c>
      <c r="H615" s="7" t="n">
        <v>3573</v>
      </c>
      <c r="I615" s="7" t="n">
        <v>8458</v>
      </c>
      <c r="J615" s="8" t="n">
        <v>14.6</v>
      </c>
      <c r="K615" s="9" t="n">
        <f aca="false">(G615+H615+I615)/E615</f>
        <v>0.0679501728995047</v>
      </c>
    </row>
    <row r="616" customFormat="false" ht="14.25" hidden="false" customHeight="true" outlineLevel="0" collapsed="false">
      <c r="A616" s="5" t="s">
        <v>640</v>
      </c>
      <c r="B616" s="5" t="s">
        <v>25</v>
      </c>
      <c r="C616" s="6" t="n">
        <v>45852</v>
      </c>
      <c r="D616" s="5" t="s">
        <v>26</v>
      </c>
      <c r="E616" s="7" t="n">
        <v>305982</v>
      </c>
      <c r="F616" s="7" t="n">
        <v>126621</v>
      </c>
      <c r="G616" s="7" t="n">
        <v>6294</v>
      </c>
      <c r="H616" s="7" t="n">
        <v>1307</v>
      </c>
      <c r="I616" s="7" t="n">
        <v>2027</v>
      </c>
      <c r="J616" s="8" t="n">
        <v>7.6</v>
      </c>
      <c r="K616" s="9" t="n">
        <f aca="false">(G616+H616+I616)/E616</f>
        <v>0.0314659032230654</v>
      </c>
    </row>
    <row r="617" customFormat="false" ht="14.25" hidden="false" customHeight="true" outlineLevel="0" collapsed="false">
      <c r="A617" s="5" t="s">
        <v>641</v>
      </c>
      <c r="B617" s="5" t="s">
        <v>18</v>
      </c>
      <c r="C617" s="6" t="n">
        <v>46005</v>
      </c>
      <c r="D617" s="5" t="s">
        <v>23</v>
      </c>
      <c r="E617" s="7" t="n">
        <v>78081</v>
      </c>
      <c r="F617" s="7" t="n">
        <v>46642</v>
      </c>
      <c r="G617" s="7" t="n">
        <v>1676</v>
      </c>
      <c r="H617" s="7" t="n">
        <v>643</v>
      </c>
      <c r="I617" s="7" t="n">
        <v>228</v>
      </c>
      <c r="J617" s="8" t="n">
        <v>5.46</v>
      </c>
      <c r="K617" s="9" t="n">
        <f aca="false">(G617+H617+I617)/E617</f>
        <v>0.0326199715679871</v>
      </c>
    </row>
    <row r="618" customFormat="false" ht="14.25" hidden="false" customHeight="true" outlineLevel="0" collapsed="false">
      <c r="A618" s="5" t="s">
        <v>642</v>
      </c>
      <c r="B618" s="5" t="s">
        <v>14</v>
      </c>
      <c r="C618" s="6" t="n">
        <v>45447</v>
      </c>
      <c r="D618" s="5" t="s">
        <v>15</v>
      </c>
      <c r="E618" s="7" t="n">
        <v>5666</v>
      </c>
      <c r="F618" s="7" t="n">
        <v>2551</v>
      </c>
      <c r="G618" s="7" t="n">
        <v>121</v>
      </c>
      <c r="H618" s="7" t="n">
        <v>24</v>
      </c>
      <c r="I618" s="7" t="n">
        <v>59</v>
      </c>
      <c r="J618" s="8" t="n">
        <v>8</v>
      </c>
      <c r="K618" s="9" t="n">
        <f aca="false">(G618+H618+I618)/E618</f>
        <v>0.0360042357924462</v>
      </c>
    </row>
    <row r="619" customFormat="false" ht="14.25" hidden="false" customHeight="true" outlineLevel="0" collapsed="false">
      <c r="A619" s="5" t="s">
        <v>643</v>
      </c>
      <c r="B619" s="5" t="s">
        <v>25</v>
      </c>
      <c r="C619" s="6" t="n">
        <v>45705</v>
      </c>
      <c r="D619" s="5" t="s">
        <v>23</v>
      </c>
      <c r="E619" s="7" t="n">
        <v>282470</v>
      </c>
      <c r="F619" s="7" t="n">
        <v>186650</v>
      </c>
      <c r="G619" s="7" t="n">
        <v>9599</v>
      </c>
      <c r="H619" s="7" t="n">
        <v>3836</v>
      </c>
      <c r="I619" s="7" t="n">
        <v>7693</v>
      </c>
      <c r="J619" s="8" t="n">
        <v>11.32</v>
      </c>
      <c r="K619" s="9" t="n">
        <f aca="false">(G619+H619+I619)/E619</f>
        <v>0.0747973236095869</v>
      </c>
    </row>
    <row r="620" customFormat="false" ht="14.25" hidden="false" customHeight="true" outlineLevel="0" collapsed="false">
      <c r="A620" s="5" t="s">
        <v>644</v>
      </c>
      <c r="B620" s="5" t="s">
        <v>14</v>
      </c>
      <c r="C620" s="6" t="n">
        <v>45634</v>
      </c>
      <c r="D620" s="5" t="s">
        <v>19</v>
      </c>
      <c r="E620" s="7" t="n">
        <v>8276</v>
      </c>
      <c r="F620" s="7" t="n">
        <v>4573</v>
      </c>
      <c r="G620" s="7" t="n">
        <v>96</v>
      </c>
      <c r="H620" s="7" t="n">
        <v>75</v>
      </c>
      <c r="I620" s="7" t="n">
        <v>90</v>
      </c>
      <c r="J620" s="8" t="n">
        <v>5.71</v>
      </c>
      <c r="K620" s="9" t="n">
        <f aca="false">(G620+H620+I620)/E620</f>
        <v>0.0315369743837603</v>
      </c>
    </row>
    <row r="621" customFormat="false" ht="14.25" hidden="false" customHeight="true" outlineLevel="0" collapsed="false">
      <c r="A621" s="5" t="s">
        <v>645</v>
      </c>
      <c r="B621" s="5" t="s">
        <v>22</v>
      </c>
      <c r="C621" s="6" t="n">
        <v>45696</v>
      </c>
      <c r="D621" s="5" t="s">
        <v>19</v>
      </c>
      <c r="E621" s="7" t="n">
        <v>14687</v>
      </c>
      <c r="F621" s="7" t="n">
        <v>11612</v>
      </c>
      <c r="G621" s="7" t="n">
        <v>127</v>
      </c>
      <c r="H621" s="7" t="n">
        <v>23</v>
      </c>
      <c r="I621" s="7" t="n">
        <v>63</v>
      </c>
      <c r="J621" s="8" t="n">
        <v>1.83</v>
      </c>
      <c r="K621" s="9" t="n">
        <f aca="false">(G621+H621+I621)/E621</f>
        <v>0.0145026213658337</v>
      </c>
    </row>
    <row r="622" customFormat="false" ht="14.25" hidden="false" customHeight="true" outlineLevel="0" collapsed="false">
      <c r="A622" s="5" t="s">
        <v>646</v>
      </c>
      <c r="B622" s="5" t="s">
        <v>22</v>
      </c>
      <c r="C622" s="6" t="n">
        <v>45574</v>
      </c>
      <c r="D622" s="5" t="s">
        <v>15</v>
      </c>
      <c r="E622" s="7" t="n">
        <v>8640</v>
      </c>
      <c r="F622" s="7" t="n">
        <v>6048</v>
      </c>
      <c r="G622" s="7" t="n">
        <v>127</v>
      </c>
      <c r="H622" s="7" t="n">
        <v>38</v>
      </c>
      <c r="I622" s="7" t="n">
        <v>53</v>
      </c>
      <c r="J622" s="8" t="n">
        <v>3.6</v>
      </c>
      <c r="K622" s="9" t="n">
        <f aca="false">(G622+H622+I622)/E622</f>
        <v>0.0252314814814815</v>
      </c>
    </row>
    <row r="623" customFormat="false" ht="14.25" hidden="false" customHeight="true" outlineLevel="0" collapsed="false">
      <c r="A623" s="5" t="s">
        <v>647</v>
      </c>
      <c r="B623" s="5" t="s">
        <v>33</v>
      </c>
      <c r="C623" s="6" t="n">
        <v>45983</v>
      </c>
      <c r="D623" s="5" t="s">
        <v>15</v>
      </c>
      <c r="E623" s="7" t="n">
        <v>11681</v>
      </c>
      <c r="F623" s="7" t="n">
        <v>8863</v>
      </c>
      <c r="G623" s="7" t="n">
        <v>407</v>
      </c>
      <c r="H623" s="7" t="n">
        <v>183</v>
      </c>
      <c r="I623" s="7" t="n">
        <v>71</v>
      </c>
      <c r="J623" s="8" t="n">
        <v>7.46</v>
      </c>
      <c r="K623" s="9" t="n">
        <f aca="false">(G623+H623+I623)/E623</f>
        <v>0.0565876209228662</v>
      </c>
    </row>
    <row r="624" customFormat="false" ht="14.25" hidden="false" customHeight="true" outlineLevel="0" collapsed="false">
      <c r="A624" s="5" t="s">
        <v>648</v>
      </c>
      <c r="B624" s="5" t="s">
        <v>25</v>
      </c>
      <c r="C624" s="6" t="n">
        <v>45747</v>
      </c>
      <c r="D624" s="5" t="s">
        <v>23</v>
      </c>
      <c r="E624" s="7" t="n">
        <v>382426</v>
      </c>
      <c r="F624" s="7" t="n">
        <v>151935</v>
      </c>
      <c r="G624" s="7" t="n">
        <v>17874</v>
      </c>
      <c r="H624" s="7" t="n">
        <v>1085</v>
      </c>
      <c r="I624" s="7" t="n">
        <v>1646</v>
      </c>
      <c r="J624" s="8" t="n">
        <v>13.56</v>
      </c>
      <c r="K624" s="9" t="n">
        <f aca="false">(G624+H624+I624)/E624</f>
        <v>0.0538797048317845</v>
      </c>
    </row>
    <row r="625" customFormat="false" ht="14.25" hidden="false" customHeight="true" outlineLevel="0" collapsed="false">
      <c r="A625" s="5" t="s">
        <v>649</v>
      </c>
      <c r="B625" s="5" t="s">
        <v>22</v>
      </c>
      <c r="C625" s="6" t="n">
        <v>45322</v>
      </c>
      <c r="D625" s="5" t="s">
        <v>19</v>
      </c>
      <c r="E625" s="7" t="n">
        <v>4755</v>
      </c>
      <c r="F625" s="7" t="n">
        <v>4004</v>
      </c>
      <c r="G625" s="7" t="n">
        <v>36</v>
      </c>
      <c r="H625" s="7" t="n">
        <v>12</v>
      </c>
      <c r="I625" s="7" t="n">
        <v>30</v>
      </c>
      <c r="J625" s="8" t="n">
        <v>1.95</v>
      </c>
      <c r="K625" s="9" t="n">
        <f aca="false">(G625+H625+I625)/E625</f>
        <v>0.016403785488959</v>
      </c>
    </row>
    <row r="626" customFormat="false" ht="14.25" hidden="false" customHeight="true" outlineLevel="0" collapsed="false">
      <c r="A626" s="5" t="s">
        <v>650</v>
      </c>
      <c r="B626" s="5" t="s">
        <v>22</v>
      </c>
      <c r="C626" s="6" t="n">
        <v>45556</v>
      </c>
      <c r="D626" s="5" t="s">
        <v>23</v>
      </c>
      <c r="E626" s="7" t="n">
        <v>56581</v>
      </c>
      <c r="F626" s="7" t="n">
        <v>39633</v>
      </c>
      <c r="G626" s="7" t="n">
        <v>457</v>
      </c>
      <c r="H626" s="7" t="n">
        <v>260</v>
      </c>
      <c r="I626" s="7" t="n">
        <v>237</v>
      </c>
      <c r="J626" s="8" t="n">
        <v>2.41</v>
      </c>
      <c r="K626" s="9" t="n">
        <f aca="false">(G626+H626+I626)/E626</f>
        <v>0.0168607836552906</v>
      </c>
    </row>
    <row r="627" customFormat="false" ht="14.25" hidden="false" customHeight="true" outlineLevel="0" collapsed="false">
      <c r="A627" s="5" t="s">
        <v>651</v>
      </c>
      <c r="B627" s="5" t="s">
        <v>22</v>
      </c>
      <c r="C627" s="6" t="n">
        <v>45382</v>
      </c>
      <c r="D627" s="5" t="s">
        <v>15</v>
      </c>
      <c r="E627" s="7" t="n">
        <v>13892</v>
      </c>
      <c r="F627" s="7" t="n">
        <v>9761</v>
      </c>
      <c r="G627" s="7" t="n">
        <v>108</v>
      </c>
      <c r="H627" s="7" t="n">
        <v>71</v>
      </c>
      <c r="I627" s="7" t="n">
        <v>142</v>
      </c>
      <c r="J627" s="8" t="n">
        <v>3.29</v>
      </c>
      <c r="K627" s="9" t="n">
        <f aca="false">(G627+H627+I627)/E627</f>
        <v>0.023106824071408</v>
      </c>
    </row>
    <row r="628" customFormat="false" ht="14.25" hidden="false" customHeight="true" outlineLevel="0" collapsed="false">
      <c r="A628" s="5" t="s">
        <v>652</v>
      </c>
      <c r="B628" s="5" t="s">
        <v>18</v>
      </c>
      <c r="C628" s="6" t="n">
        <v>45543</v>
      </c>
      <c r="D628" s="5" t="s">
        <v>28</v>
      </c>
      <c r="E628" s="7" t="n">
        <v>66709</v>
      </c>
      <c r="F628" s="7" t="n">
        <v>49001</v>
      </c>
      <c r="G628" s="7" t="n">
        <v>1938</v>
      </c>
      <c r="H628" s="7" t="n">
        <v>402</v>
      </c>
      <c r="I628" s="7" t="n">
        <v>197</v>
      </c>
      <c r="J628" s="8" t="n">
        <v>5.18</v>
      </c>
      <c r="K628" s="9" t="n">
        <f aca="false">(G628+H628+I628)/E628</f>
        <v>0.0380308504099897</v>
      </c>
    </row>
    <row r="629" customFormat="false" ht="14.25" hidden="false" customHeight="true" outlineLevel="0" collapsed="false">
      <c r="A629" s="5" t="s">
        <v>653</v>
      </c>
      <c r="B629" s="5" t="s">
        <v>18</v>
      </c>
      <c r="C629" s="6" t="n">
        <v>45392</v>
      </c>
      <c r="D629" s="5" t="s">
        <v>19</v>
      </c>
      <c r="E629" s="7" t="n">
        <v>24231</v>
      </c>
      <c r="F629" s="7" t="n">
        <v>17799</v>
      </c>
      <c r="G629" s="7" t="n">
        <v>556</v>
      </c>
      <c r="H629" s="7" t="n">
        <v>245</v>
      </c>
      <c r="I629" s="7" t="n">
        <v>128</v>
      </c>
      <c r="J629" s="8" t="n">
        <v>5.22</v>
      </c>
      <c r="K629" s="9" t="n">
        <f aca="false">(G629+H629+I629)/E629</f>
        <v>0.0383393174033263</v>
      </c>
    </row>
    <row r="630" customFormat="false" ht="14.25" hidden="false" customHeight="true" outlineLevel="0" collapsed="false">
      <c r="A630" s="5" t="s">
        <v>654</v>
      </c>
      <c r="B630" s="5" t="s">
        <v>22</v>
      </c>
      <c r="C630" s="6" t="n">
        <v>45431</v>
      </c>
      <c r="D630" s="5" t="s">
        <v>23</v>
      </c>
      <c r="E630" s="7" t="n">
        <v>30676</v>
      </c>
      <c r="F630" s="7" t="n">
        <v>22601</v>
      </c>
      <c r="G630" s="7" t="n">
        <v>580</v>
      </c>
      <c r="H630" s="7" t="n">
        <v>37</v>
      </c>
      <c r="I630" s="7" t="n">
        <v>284</v>
      </c>
      <c r="J630" s="8" t="n">
        <v>3.99</v>
      </c>
      <c r="K630" s="9" t="n">
        <f aca="false">(G630+H630+I630)/E630</f>
        <v>0.0293714956317642</v>
      </c>
    </row>
    <row r="631" customFormat="false" ht="14.25" hidden="false" customHeight="true" outlineLevel="0" collapsed="false">
      <c r="A631" s="5" t="s">
        <v>655</v>
      </c>
      <c r="B631" s="5" t="s">
        <v>18</v>
      </c>
      <c r="C631" s="6" t="n">
        <v>45952</v>
      </c>
      <c r="D631" s="5" t="s">
        <v>26</v>
      </c>
      <c r="E631" s="7" t="n">
        <v>43458</v>
      </c>
      <c r="F631" s="7" t="n">
        <v>22086</v>
      </c>
      <c r="G631" s="7" t="n">
        <v>806</v>
      </c>
      <c r="H631" s="7" t="n">
        <v>132</v>
      </c>
      <c r="I631" s="7" t="n">
        <v>155</v>
      </c>
      <c r="J631" s="8" t="n">
        <v>4.95</v>
      </c>
      <c r="K631" s="9" t="n">
        <f aca="false">(G631+H631+I631)/E631</f>
        <v>0.0251507202356298</v>
      </c>
    </row>
    <row r="632" customFormat="false" ht="14.25" hidden="false" customHeight="true" outlineLevel="0" collapsed="false">
      <c r="A632" s="5" t="s">
        <v>656</v>
      </c>
      <c r="B632" s="5" t="s">
        <v>18</v>
      </c>
      <c r="C632" s="6" t="n">
        <v>45618</v>
      </c>
      <c r="D632" s="5" t="s">
        <v>19</v>
      </c>
      <c r="E632" s="7" t="n">
        <v>24339</v>
      </c>
      <c r="F632" s="7" t="n">
        <v>11601</v>
      </c>
      <c r="G632" s="7" t="n">
        <v>686</v>
      </c>
      <c r="H632" s="7" t="n">
        <v>112</v>
      </c>
      <c r="I632" s="7" t="n">
        <v>107</v>
      </c>
      <c r="J632" s="8" t="n">
        <v>7.8</v>
      </c>
      <c r="K632" s="9" t="n">
        <f aca="false">(G632+H632+I632)/E632</f>
        <v>0.0371831217387732</v>
      </c>
    </row>
    <row r="633" customFormat="false" ht="14.25" hidden="false" customHeight="true" outlineLevel="0" collapsed="false">
      <c r="A633" s="5" t="s">
        <v>657</v>
      </c>
      <c r="B633" s="5" t="s">
        <v>22</v>
      </c>
      <c r="C633" s="6" t="n">
        <v>45306</v>
      </c>
      <c r="D633" s="5" t="s">
        <v>19</v>
      </c>
      <c r="E633" s="7" t="n">
        <v>23608</v>
      </c>
      <c r="F633" s="7" t="n">
        <v>14578</v>
      </c>
      <c r="G633" s="7" t="n">
        <v>419</v>
      </c>
      <c r="H633" s="7" t="n">
        <v>103</v>
      </c>
      <c r="I633" s="7" t="n">
        <v>210</v>
      </c>
      <c r="J633" s="8" t="n">
        <v>5.02</v>
      </c>
      <c r="K633" s="9" t="n">
        <f aca="false">(G633+H633+I633)/E633</f>
        <v>0.0310064384954253</v>
      </c>
    </row>
    <row r="634" customFormat="false" ht="14.25" hidden="false" customHeight="true" outlineLevel="0" collapsed="false">
      <c r="A634" s="5" t="s">
        <v>658</v>
      </c>
      <c r="B634" s="5" t="s">
        <v>14</v>
      </c>
      <c r="C634" s="6" t="n">
        <v>45776</v>
      </c>
      <c r="D634" s="5" t="s">
        <v>15</v>
      </c>
      <c r="E634" s="7" t="n">
        <v>3498</v>
      </c>
      <c r="F634" s="7" t="n">
        <v>2312</v>
      </c>
      <c r="G634" s="7" t="n">
        <v>77</v>
      </c>
      <c r="H634" s="7" t="n">
        <v>18</v>
      </c>
      <c r="I634" s="7" t="n">
        <v>53</v>
      </c>
      <c r="J634" s="8" t="n">
        <v>6.4</v>
      </c>
      <c r="K634" s="9" t="n">
        <f aca="false">(G634+H634+I634)/E634</f>
        <v>0.0423098913664951</v>
      </c>
    </row>
    <row r="635" customFormat="false" ht="14.25" hidden="false" customHeight="true" outlineLevel="0" collapsed="false">
      <c r="A635" s="5" t="s">
        <v>659</v>
      </c>
      <c r="B635" s="5" t="s">
        <v>22</v>
      </c>
      <c r="C635" s="6" t="n">
        <v>45585</v>
      </c>
      <c r="D635" s="5" t="s">
        <v>15</v>
      </c>
      <c r="E635" s="7" t="n">
        <v>11898</v>
      </c>
      <c r="F635" s="7" t="n">
        <v>10271</v>
      </c>
      <c r="G635" s="7" t="n">
        <v>276</v>
      </c>
      <c r="H635" s="7" t="n">
        <v>51</v>
      </c>
      <c r="I635" s="7" t="n">
        <v>155</v>
      </c>
      <c r="J635" s="8" t="n">
        <v>4.69</v>
      </c>
      <c r="K635" s="9" t="n">
        <f aca="false">(G635+H635+I635)/E635</f>
        <v>0.0405110102538242</v>
      </c>
    </row>
    <row r="636" customFormat="false" ht="14.25" hidden="false" customHeight="true" outlineLevel="0" collapsed="false">
      <c r="A636" s="5" t="s">
        <v>660</v>
      </c>
      <c r="B636" s="5" t="s">
        <v>33</v>
      </c>
      <c r="C636" s="6" t="n">
        <v>45807</v>
      </c>
      <c r="D636" s="5" t="s">
        <v>15</v>
      </c>
      <c r="E636" s="7" t="n">
        <v>2644</v>
      </c>
      <c r="F636" s="7" t="n">
        <v>1864</v>
      </c>
      <c r="G636" s="7" t="n">
        <v>34</v>
      </c>
      <c r="H636" s="7" t="n">
        <v>17</v>
      </c>
      <c r="I636" s="7" t="n">
        <v>20</v>
      </c>
      <c r="J636" s="8" t="n">
        <v>3.81</v>
      </c>
      <c r="K636" s="9" t="n">
        <f aca="false">(G636+H636+I636)/E636</f>
        <v>0.0268532526475038</v>
      </c>
    </row>
    <row r="637" customFormat="false" ht="14.25" hidden="false" customHeight="true" outlineLevel="0" collapsed="false">
      <c r="A637" s="5" t="s">
        <v>661</v>
      </c>
      <c r="B637" s="5" t="s">
        <v>33</v>
      </c>
      <c r="C637" s="6" t="n">
        <v>45780</v>
      </c>
      <c r="D637" s="5" t="s">
        <v>28</v>
      </c>
      <c r="E637" s="7" t="n">
        <v>16074</v>
      </c>
      <c r="F637" s="7" t="n">
        <v>7842</v>
      </c>
      <c r="G637" s="7" t="n">
        <v>276</v>
      </c>
      <c r="H637" s="7" t="n">
        <v>105</v>
      </c>
      <c r="I637" s="7" t="n">
        <v>84</v>
      </c>
      <c r="J637" s="8" t="n">
        <v>5.93</v>
      </c>
      <c r="K637" s="9" t="n">
        <f aca="false">(G637+H637+I637)/E637</f>
        <v>0.0289287047405748</v>
      </c>
    </row>
    <row r="638" customFormat="false" ht="14.25" hidden="false" customHeight="true" outlineLevel="0" collapsed="false">
      <c r="A638" s="5" t="s">
        <v>662</v>
      </c>
      <c r="B638" s="5" t="s">
        <v>18</v>
      </c>
      <c r="C638" s="6" t="n">
        <v>45836</v>
      </c>
      <c r="D638" s="5" t="s">
        <v>19</v>
      </c>
      <c r="E638" s="7" t="n">
        <v>5607</v>
      </c>
      <c r="F638" s="7" t="n">
        <v>3909</v>
      </c>
      <c r="G638" s="7" t="n">
        <v>251</v>
      </c>
      <c r="H638" s="7" t="n">
        <v>37</v>
      </c>
      <c r="I638" s="7" t="n">
        <v>11</v>
      </c>
      <c r="J638" s="8" t="n">
        <v>7.65</v>
      </c>
      <c r="K638" s="9" t="n">
        <f aca="false">(G638+H638+I638)/E638</f>
        <v>0.0533261993936151</v>
      </c>
    </row>
    <row r="639" customFormat="false" ht="14.25" hidden="false" customHeight="true" outlineLevel="0" collapsed="false">
      <c r="A639" s="5" t="s">
        <v>663</v>
      </c>
      <c r="B639" s="5" t="s">
        <v>25</v>
      </c>
      <c r="C639" s="6" t="n">
        <v>45866</v>
      </c>
      <c r="D639" s="5" t="s">
        <v>23</v>
      </c>
      <c r="E639" s="7" t="n">
        <v>355683</v>
      </c>
      <c r="F639" s="7" t="n">
        <v>209786</v>
      </c>
      <c r="G639" s="7" t="n">
        <v>22369</v>
      </c>
      <c r="H639" s="7" t="n">
        <v>5374</v>
      </c>
      <c r="I639" s="7" t="n">
        <v>5279</v>
      </c>
      <c r="J639" s="8" t="n">
        <v>15.74</v>
      </c>
      <c r="K639" s="9" t="n">
        <f aca="false">(G639+H639+I639)/E639</f>
        <v>0.0928410972691976</v>
      </c>
    </row>
    <row r="640" customFormat="false" ht="14.25" hidden="false" customHeight="true" outlineLevel="0" collapsed="false">
      <c r="A640" s="5" t="s">
        <v>664</v>
      </c>
      <c r="B640" s="5" t="s">
        <v>33</v>
      </c>
      <c r="C640" s="6" t="n">
        <v>45618</v>
      </c>
      <c r="D640" s="5" t="s">
        <v>28</v>
      </c>
      <c r="E640" s="7" t="n">
        <v>24289</v>
      </c>
      <c r="F640" s="7" t="n">
        <v>13668</v>
      </c>
      <c r="G640" s="7" t="n">
        <v>552</v>
      </c>
      <c r="H640" s="7" t="n">
        <v>140</v>
      </c>
      <c r="I640" s="7" t="n">
        <v>120</v>
      </c>
      <c r="J640" s="8" t="n">
        <v>5.94</v>
      </c>
      <c r="K640" s="9" t="n">
        <f aca="false">(G640+H640+I640)/E640</f>
        <v>0.0334307711309646</v>
      </c>
    </row>
    <row r="641" customFormat="false" ht="14.25" hidden="false" customHeight="true" outlineLevel="0" collapsed="false">
      <c r="A641" s="5" t="s">
        <v>665</v>
      </c>
      <c r="B641" s="5" t="s">
        <v>22</v>
      </c>
      <c r="C641" s="6" t="n">
        <v>45672</v>
      </c>
      <c r="D641" s="5" t="s">
        <v>23</v>
      </c>
      <c r="E641" s="7" t="n">
        <v>47511</v>
      </c>
      <c r="F641" s="7" t="n">
        <v>30956</v>
      </c>
      <c r="G641" s="7" t="n">
        <v>836</v>
      </c>
      <c r="H641" s="7" t="n">
        <v>31</v>
      </c>
      <c r="I641" s="7" t="n">
        <v>371</v>
      </c>
      <c r="J641" s="8" t="n">
        <v>4</v>
      </c>
      <c r="K641" s="9" t="n">
        <f aca="false">(G641+H641+I641)/E641</f>
        <v>0.026057123613479</v>
      </c>
    </row>
    <row r="642" customFormat="false" ht="14.25" hidden="false" customHeight="true" outlineLevel="0" collapsed="false">
      <c r="A642" s="5" t="s">
        <v>666</v>
      </c>
      <c r="B642" s="5" t="s">
        <v>22</v>
      </c>
      <c r="C642" s="6" t="n">
        <v>46002</v>
      </c>
      <c r="D642" s="5" t="s">
        <v>19</v>
      </c>
      <c r="E642" s="7" t="n">
        <v>12122</v>
      </c>
      <c r="F642" s="7" t="n">
        <v>6898</v>
      </c>
      <c r="G642" s="7" t="n">
        <v>100</v>
      </c>
      <c r="H642" s="7" t="n">
        <v>19</v>
      </c>
      <c r="I642" s="7" t="n">
        <v>108</v>
      </c>
      <c r="J642" s="8" t="n">
        <v>3.29</v>
      </c>
      <c r="K642" s="9" t="n">
        <f aca="false">(G642+H642+I642)/E642</f>
        <v>0.0187262827916185</v>
      </c>
    </row>
    <row r="643" customFormat="false" ht="14.25" hidden="false" customHeight="true" outlineLevel="0" collapsed="false">
      <c r="A643" s="5" t="s">
        <v>667</v>
      </c>
      <c r="B643" s="5" t="s">
        <v>25</v>
      </c>
      <c r="C643" s="6" t="n">
        <v>45818</v>
      </c>
      <c r="D643" s="5" t="s">
        <v>26</v>
      </c>
      <c r="E643" s="7" t="n">
        <v>24844</v>
      </c>
      <c r="F643" s="7" t="n">
        <v>13213</v>
      </c>
      <c r="G643" s="7" t="n">
        <v>1483</v>
      </c>
      <c r="H643" s="7" t="n">
        <v>150</v>
      </c>
      <c r="I643" s="7" t="n">
        <v>471</v>
      </c>
      <c r="J643" s="8" t="n">
        <v>15.92</v>
      </c>
      <c r="K643" s="9" t="n">
        <f aca="false">(G643+H643+I643)/E643</f>
        <v>0.084688455965223</v>
      </c>
    </row>
    <row r="644" customFormat="false" ht="14.25" hidden="false" customHeight="true" outlineLevel="0" collapsed="false">
      <c r="A644" s="5" t="s">
        <v>668</v>
      </c>
      <c r="B644" s="5" t="s">
        <v>18</v>
      </c>
      <c r="C644" s="6" t="n">
        <v>45588</v>
      </c>
      <c r="D644" s="5" t="s">
        <v>26</v>
      </c>
      <c r="E644" s="7" t="n">
        <v>72162</v>
      </c>
      <c r="F644" s="7" t="n">
        <v>32445</v>
      </c>
      <c r="G644" s="7" t="n">
        <v>1120</v>
      </c>
      <c r="H644" s="7" t="n">
        <v>100</v>
      </c>
      <c r="I644" s="7" t="n">
        <v>71</v>
      </c>
      <c r="J644" s="8" t="n">
        <v>3.98</v>
      </c>
      <c r="K644" s="9" t="n">
        <f aca="false">(G644+H644+I644)/E644</f>
        <v>0.0178903023752113</v>
      </c>
    </row>
    <row r="645" customFormat="false" ht="14.25" hidden="false" customHeight="true" outlineLevel="0" collapsed="false">
      <c r="A645" s="5" t="s">
        <v>669</v>
      </c>
      <c r="B645" s="5" t="s">
        <v>22</v>
      </c>
      <c r="C645" s="6" t="n">
        <v>45957</v>
      </c>
      <c r="D645" s="5" t="s">
        <v>15</v>
      </c>
      <c r="E645" s="7" t="n">
        <v>9855</v>
      </c>
      <c r="F645" s="7" t="n">
        <v>8639</v>
      </c>
      <c r="G645" s="7" t="n">
        <v>165</v>
      </c>
      <c r="H645" s="7" t="n">
        <v>13</v>
      </c>
      <c r="I645" s="7" t="n">
        <v>75</v>
      </c>
      <c r="J645" s="8" t="n">
        <v>2.93</v>
      </c>
      <c r="K645" s="9" t="n">
        <f aca="false">(G645+H645+I645)/E645</f>
        <v>0.0256722475900558</v>
      </c>
    </row>
    <row r="646" customFormat="false" ht="14.25" hidden="false" customHeight="true" outlineLevel="0" collapsed="false">
      <c r="A646" s="5" t="s">
        <v>670</v>
      </c>
      <c r="B646" s="5" t="s">
        <v>14</v>
      </c>
      <c r="C646" s="6" t="n">
        <v>45923</v>
      </c>
      <c r="D646" s="5" t="s">
        <v>15</v>
      </c>
      <c r="E646" s="7" t="n">
        <v>1464</v>
      </c>
      <c r="F646" s="7" t="n">
        <v>623</v>
      </c>
      <c r="G646" s="7" t="n">
        <v>18</v>
      </c>
      <c r="H646" s="7" t="n">
        <v>4</v>
      </c>
      <c r="I646" s="7" t="n">
        <v>10</v>
      </c>
      <c r="J646" s="8" t="n">
        <v>5.14</v>
      </c>
      <c r="K646" s="9" t="n">
        <f aca="false">(G646+H646+I646)/E646</f>
        <v>0.0218579234972678</v>
      </c>
    </row>
    <row r="647" customFormat="false" ht="14.25" hidden="false" customHeight="true" outlineLevel="0" collapsed="false">
      <c r="A647" s="5" t="s">
        <v>671</v>
      </c>
      <c r="B647" s="5" t="s">
        <v>18</v>
      </c>
      <c r="C647" s="6" t="n">
        <v>45506</v>
      </c>
      <c r="D647" s="5" t="s">
        <v>19</v>
      </c>
      <c r="E647" s="7" t="n">
        <v>43874</v>
      </c>
      <c r="F647" s="7" t="n">
        <v>28603</v>
      </c>
      <c r="G647" s="7" t="n">
        <v>2132</v>
      </c>
      <c r="H647" s="7" t="n">
        <v>362</v>
      </c>
      <c r="I647" s="7" t="n">
        <v>160</v>
      </c>
      <c r="J647" s="8" t="n">
        <v>9.28</v>
      </c>
      <c r="K647" s="9" t="n">
        <f aca="false">(G647+H647+I647)/E647</f>
        <v>0.0604914072115604</v>
      </c>
    </row>
    <row r="648" customFormat="false" ht="14.25" hidden="false" customHeight="true" outlineLevel="0" collapsed="false">
      <c r="A648" s="5" t="s">
        <v>672</v>
      </c>
      <c r="B648" s="5" t="s">
        <v>25</v>
      </c>
      <c r="C648" s="6" t="n">
        <v>45910</v>
      </c>
      <c r="D648" s="5" t="s">
        <v>23</v>
      </c>
      <c r="E648" s="7" t="n">
        <v>351288</v>
      </c>
      <c r="F648" s="7" t="n">
        <v>199282</v>
      </c>
      <c r="G648" s="7" t="n">
        <v>8103</v>
      </c>
      <c r="H648" s="7" t="n">
        <v>5764</v>
      </c>
      <c r="I648" s="7" t="n">
        <v>4943</v>
      </c>
      <c r="J648" s="8" t="n">
        <v>9.44</v>
      </c>
      <c r="K648" s="9" t="n">
        <f aca="false">(G648+H648+I648)/E648</f>
        <v>0.0535458085673294</v>
      </c>
    </row>
    <row r="649" customFormat="false" ht="14.25" hidden="false" customHeight="true" outlineLevel="0" collapsed="false">
      <c r="A649" s="5" t="s">
        <v>673</v>
      </c>
      <c r="B649" s="5" t="s">
        <v>33</v>
      </c>
      <c r="C649" s="6" t="n">
        <v>45457</v>
      </c>
      <c r="D649" s="5" t="s">
        <v>15</v>
      </c>
      <c r="E649" s="7" t="n">
        <v>1882</v>
      </c>
      <c r="F649" s="7" t="n">
        <v>1085</v>
      </c>
      <c r="G649" s="7" t="n">
        <v>51</v>
      </c>
      <c r="H649" s="7" t="n">
        <v>21</v>
      </c>
      <c r="I649" s="7" t="n">
        <v>5</v>
      </c>
      <c r="J649" s="8" t="n">
        <v>7.1</v>
      </c>
      <c r="K649" s="9" t="n">
        <f aca="false">(G649+H649+I649)/E649</f>
        <v>0.0409139213602551</v>
      </c>
    </row>
    <row r="650" customFormat="false" ht="14.25" hidden="false" customHeight="true" outlineLevel="0" collapsed="false">
      <c r="A650" s="5" t="s">
        <v>674</v>
      </c>
      <c r="B650" s="5" t="s">
        <v>18</v>
      </c>
      <c r="C650" s="6" t="n">
        <v>45552</v>
      </c>
      <c r="D650" s="5" t="s">
        <v>26</v>
      </c>
      <c r="E650" s="7" t="n">
        <v>57041</v>
      </c>
      <c r="F650" s="7" t="n">
        <v>29781</v>
      </c>
      <c r="G650" s="7" t="n">
        <v>1820</v>
      </c>
      <c r="H650" s="7" t="n">
        <v>343</v>
      </c>
      <c r="I650" s="7" t="n">
        <v>146</v>
      </c>
      <c r="J650" s="8" t="n">
        <v>7.75</v>
      </c>
      <c r="K650" s="9" t="n">
        <f aca="false">(G650+H650+I650)/E650</f>
        <v>0.0404796549850108</v>
      </c>
    </row>
    <row r="651" customFormat="false" ht="14.25" hidden="false" customHeight="true" outlineLevel="0" collapsed="false">
      <c r="A651" s="5" t="s">
        <v>675</v>
      </c>
      <c r="B651" s="5" t="s">
        <v>22</v>
      </c>
      <c r="C651" s="6" t="n">
        <v>45503</v>
      </c>
      <c r="D651" s="5" t="s">
        <v>19</v>
      </c>
      <c r="E651" s="7" t="n">
        <v>8908</v>
      </c>
      <c r="F651" s="7" t="n">
        <v>6596</v>
      </c>
      <c r="G651" s="7" t="n">
        <v>96</v>
      </c>
      <c r="H651" s="7" t="n">
        <v>44</v>
      </c>
      <c r="I651" s="7" t="n">
        <v>92</v>
      </c>
      <c r="J651" s="8" t="n">
        <v>3.52</v>
      </c>
      <c r="K651" s="9" t="n">
        <f aca="false">(G651+H651+I651)/E651</f>
        <v>0.0260440053884149</v>
      </c>
    </row>
    <row r="652" customFormat="false" ht="14.25" hidden="false" customHeight="true" outlineLevel="0" collapsed="false">
      <c r="A652" s="5" t="s">
        <v>676</v>
      </c>
      <c r="B652" s="5" t="s">
        <v>18</v>
      </c>
      <c r="C652" s="6" t="n">
        <v>45584</v>
      </c>
      <c r="D652" s="5" t="s">
        <v>19</v>
      </c>
      <c r="E652" s="7" t="n">
        <v>47214</v>
      </c>
      <c r="F652" s="7" t="n">
        <v>28846</v>
      </c>
      <c r="G652" s="7" t="n">
        <v>835</v>
      </c>
      <c r="H652" s="7" t="n">
        <v>359</v>
      </c>
      <c r="I652" s="7" t="n">
        <v>194</v>
      </c>
      <c r="J652" s="8" t="n">
        <v>4.81</v>
      </c>
      <c r="K652" s="9" t="n">
        <f aca="false">(G652+H652+I652)/E652</f>
        <v>0.029398059897488</v>
      </c>
    </row>
    <row r="653" customFormat="false" ht="14.25" hidden="false" customHeight="true" outlineLevel="0" collapsed="false">
      <c r="A653" s="5" t="s">
        <v>677</v>
      </c>
      <c r="B653" s="5" t="s">
        <v>33</v>
      </c>
      <c r="C653" s="6" t="n">
        <v>45970</v>
      </c>
      <c r="D653" s="5" t="s">
        <v>28</v>
      </c>
      <c r="E653" s="7" t="n">
        <v>7636</v>
      </c>
      <c r="F653" s="7" t="n">
        <v>4927</v>
      </c>
      <c r="G653" s="7" t="n">
        <v>86</v>
      </c>
      <c r="H653" s="7" t="n">
        <v>42</v>
      </c>
      <c r="I653" s="7" t="n">
        <v>24</v>
      </c>
      <c r="J653" s="8" t="n">
        <v>3.09</v>
      </c>
      <c r="K653" s="9" t="n">
        <f aca="false">(G653+H653+I653)/E653</f>
        <v>0.0199057097957046</v>
      </c>
    </row>
    <row r="654" customFormat="false" ht="14.25" hidden="false" customHeight="true" outlineLevel="0" collapsed="false">
      <c r="A654" s="5" t="s">
        <v>678</v>
      </c>
      <c r="B654" s="5" t="s">
        <v>22</v>
      </c>
      <c r="C654" s="6" t="n">
        <v>45868</v>
      </c>
      <c r="D654" s="5" t="s">
        <v>23</v>
      </c>
      <c r="E654" s="7" t="n">
        <v>11649</v>
      </c>
      <c r="F654" s="7" t="n">
        <v>10003</v>
      </c>
      <c r="G654" s="7" t="n">
        <v>121</v>
      </c>
      <c r="H654" s="7" t="n">
        <v>78</v>
      </c>
      <c r="I654" s="7" t="n">
        <v>73</v>
      </c>
      <c r="J654" s="8" t="n">
        <v>2.72</v>
      </c>
      <c r="K654" s="9" t="n">
        <f aca="false">(G654+H654+I654)/E654</f>
        <v>0.0233496437462443</v>
      </c>
    </row>
    <row r="655" customFormat="false" ht="14.25" hidden="false" customHeight="true" outlineLevel="0" collapsed="false">
      <c r="A655" s="5" t="s">
        <v>679</v>
      </c>
      <c r="B655" s="5" t="s">
        <v>18</v>
      </c>
      <c r="C655" s="6" t="n">
        <v>45368</v>
      </c>
      <c r="D655" s="5" t="s">
        <v>28</v>
      </c>
      <c r="E655" s="7" t="n">
        <v>15732</v>
      </c>
      <c r="F655" s="7" t="n">
        <v>10566</v>
      </c>
      <c r="G655" s="7" t="n">
        <v>390</v>
      </c>
      <c r="H655" s="7" t="n">
        <v>51</v>
      </c>
      <c r="I655" s="7" t="n">
        <v>88</v>
      </c>
      <c r="J655" s="8" t="n">
        <v>5.01</v>
      </c>
      <c r="K655" s="9" t="n">
        <f aca="false">(G655+H655+I655)/E655</f>
        <v>0.033625730994152</v>
      </c>
    </row>
    <row r="656" customFormat="false" ht="14.25" hidden="false" customHeight="true" outlineLevel="0" collapsed="false">
      <c r="A656" s="5" t="s">
        <v>680</v>
      </c>
      <c r="B656" s="5" t="s">
        <v>14</v>
      </c>
      <c r="C656" s="6" t="n">
        <v>45457</v>
      </c>
      <c r="D656" s="5" t="s">
        <v>28</v>
      </c>
      <c r="E656" s="7" t="n">
        <v>30427</v>
      </c>
      <c r="F656" s="7" t="n">
        <v>10288</v>
      </c>
      <c r="G656" s="7" t="n">
        <v>271</v>
      </c>
      <c r="H656" s="7" t="n">
        <v>114</v>
      </c>
      <c r="I656" s="7" t="n">
        <v>133</v>
      </c>
      <c r="J656" s="8" t="n">
        <v>5.03</v>
      </c>
      <c r="K656" s="9" t="n">
        <f aca="false">(G656+H656+I656)/E656</f>
        <v>0.0170243533703619</v>
      </c>
    </row>
    <row r="657" customFormat="false" ht="14.25" hidden="false" customHeight="true" outlineLevel="0" collapsed="false">
      <c r="A657" s="5" t="s">
        <v>681</v>
      </c>
      <c r="B657" s="5" t="s">
        <v>25</v>
      </c>
      <c r="C657" s="6" t="n">
        <v>45414</v>
      </c>
      <c r="D657" s="5" t="s">
        <v>23</v>
      </c>
      <c r="E657" s="7" t="n">
        <v>165315</v>
      </c>
      <c r="F657" s="7" t="n">
        <v>60150</v>
      </c>
      <c r="G657" s="7" t="n">
        <v>4425</v>
      </c>
      <c r="H657" s="7" t="n">
        <v>1246</v>
      </c>
      <c r="I657" s="7" t="n">
        <v>2176</v>
      </c>
      <c r="J657" s="8" t="n">
        <v>13.05</v>
      </c>
      <c r="K657" s="9" t="n">
        <f aca="false">(G657+H657+I657)/E657</f>
        <v>0.0474669570214439</v>
      </c>
    </row>
    <row r="658" customFormat="false" ht="14.25" hidden="false" customHeight="true" outlineLevel="0" collapsed="false">
      <c r="A658" s="5" t="s">
        <v>682</v>
      </c>
      <c r="B658" s="5" t="s">
        <v>25</v>
      </c>
      <c r="C658" s="6" t="n">
        <v>45579</v>
      </c>
      <c r="D658" s="5" t="s">
        <v>26</v>
      </c>
      <c r="E658" s="7" t="n">
        <v>400431</v>
      </c>
      <c r="F658" s="7" t="n">
        <v>132665</v>
      </c>
      <c r="G658" s="7" t="n">
        <v>7190</v>
      </c>
      <c r="H658" s="7" t="n">
        <v>1913</v>
      </c>
      <c r="I658" s="7" t="n">
        <v>5655</v>
      </c>
      <c r="J658" s="8" t="n">
        <v>11.12</v>
      </c>
      <c r="K658" s="9" t="n">
        <f aca="false">(G658+H658+I658)/E658</f>
        <v>0.0368552884267202</v>
      </c>
    </row>
    <row r="659" customFormat="false" ht="14.25" hidden="false" customHeight="true" outlineLevel="0" collapsed="false">
      <c r="A659" s="5" t="s">
        <v>683</v>
      </c>
      <c r="B659" s="5" t="s">
        <v>33</v>
      </c>
      <c r="C659" s="6" t="n">
        <v>45294</v>
      </c>
      <c r="D659" s="5" t="s">
        <v>19</v>
      </c>
      <c r="E659" s="7" t="n">
        <v>9511</v>
      </c>
      <c r="F659" s="7" t="n">
        <v>4794</v>
      </c>
      <c r="G659" s="7" t="n">
        <v>80</v>
      </c>
      <c r="H659" s="7" t="n">
        <v>38</v>
      </c>
      <c r="I659" s="7" t="n">
        <v>27</v>
      </c>
      <c r="J659" s="8" t="n">
        <v>3.02</v>
      </c>
      <c r="K659" s="9" t="n">
        <f aca="false">(G659+H659+I659)/E659</f>
        <v>0.0152455052045001</v>
      </c>
    </row>
    <row r="660" customFormat="false" ht="14.25" hidden="false" customHeight="true" outlineLevel="0" collapsed="false">
      <c r="A660" s="5" t="s">
        <v>684</v>
      </c>
      <c r="B660" s="5" t="s">
        <v>18</v>
      </c>
      <c r="C660" s="6" t="n">
        <v>45895</v>
      </c>
      <c r="D660" s="5" t="s">
        <v>23</v>
      </c>
      <c r="E660" s="7" t="n">
        <v>24086</v>
      </c>
      <c r="F660" s="7" t="n">
        <v>9779</v>
      </c>
      <c r="G660" s="7" t="n">
        <v>507</v>
      </c>
      <c r="H660" s="7" t="n">
        <v>61</v>
      </c>
      <c r="I660" s="7" t="n">
        <v>67</v>
      </c>
      <c r="J660" s="8" t="n">
        <v>6.49</v>
      </c>
      <c r="K660" s="9" t="n">
        <f aca="false">(G660+H660+I660)/E660</f>
        <v>0.0263638628248775</v>
      </c>
    </row>
    <row r="661" customFormat="false" ht="14.25" hidden="false" customHeight="true" outlineLevel="0" collapsed="false">
      <c r="A661" s="5" t="s">
        <v>685</v>
      </c>
      <c r="B661" s="5" t="s">
        <v>25</v>
      </c>
      <c r="C661" s="6" t="n">
        <v>45600</v>
      </c>
      <c r="D661" s="5" t="s">
        <v>26</v>
      </c>
      <c r="E661" s="7" t="n">
        <v>149002</v>
      </c>
      <c r="F661" s="7" t="n">
        <v>64807</v>
      </c>
      <c r="G661" s="7" t="n">
        <v>2028</v>
      </c>
      <c r="H661" s="7" t="n">
        <v>1357</v>
      </c>
      <c r="I661" s="7" t="n">
        <v>1588</v>
      </c>
      <c r="J661" s="8" t="n">
        <v>7.67</v>
      </c>
      <c r="K661" s="9" t="n">
        <f aca="false">(G661+H661+I661)/E661</f>
        <v>0.0333753909343499</v>
      </c>
    </row>
    <row r="662" customFormat="false" ht="14.25" hidden="false" customHeight="true" outlineLevel="0" collapsed="false">
      <c r="A662" s="5" t="s">
        <v>686</v>
      </c>
      <c r="B662" s="5" t="s">
        <v>18</v>
      </c>
      <c r="C662" s="6" t="n">
        <v>45468</v>
      </c>
      <c r="D662" s="5" t="s">
        <v>28</v>
      </c>
      <c r="E662" s="7" t="n">
        <v>28394</v>
      </c>
      <c r="F662" s="7" t="n">
        <v>19354</v>
      </c>
      <c r="G662" s="7" t="n">
        <v>1424</v>
      </c>
      <c r="H662" s="7" t="n">
        <v>188</v>
      </c>
      <c r="I662" s="7" t="n">
        <v>137</v>
      </c>
      <c r="J662" s="8" t="n">
        <v>9.04</v>
      </c>
      <c r="K662" s="9" t="n">
        <f aca="false">(G662+H662+I662)/E662</f>
        <v>0.0615975206029443</v>
      </c>
    </row>
    <row r="663" customFormat="false" ht="14.25" hidden="false" customHeight="true" outlineLevel="0" collapsed="false">
      <c r="A663" s="5" t="s">
        <v>687</v>
      </c>
      <c r="B663" s="5" t="s">
        <v>33</v>
      </c>
      <c r="C663" s="6" t="n">
        <v>45367</v>
      </c>
      <c r="D663" s="5" t="s">
        <v>23</v>
      </c>
      <c r="E663" s="7" t="n">
        <v>34442</v>
      </c>
      <c r="F663" s="7" t="n">
        <v>18309</v>
      </c>
      <c r="G663" s="7" t="n">
        <v>819</v>
      </c>
      <c r="H663" s="7" t="n">
        <v>280</v>
      </c>
      <c r="I663" s="7" t="n">
        <v>122</v>
      </c>
      <c r="J663" s="8" t="n">
        <v>6.67</v>
      </c>
      <c r="K663" s="9" t="n">
        <f aca="false">(G663+H663+I663)/E663</f>
        <v>0.0354509029673074</v>
      </c>
    </row>
    <row r="664" customFormat="false" ht="14.25" hidden="false" customHeight="true" outlineLevel="0" collapsed="false">
      <c r="A664" s="5" t="s">
        <v>688</v>
      </c>
      <c r="B664" s="5" t="s">
        <v>18</v>
      </c>
      <c r="C664" s="6" t="n">
        <v>46009</v>
      </c>
      <c r="D664" s="5" t="s">
        <v>19</v>
      </c>
      <c r="E664" s="7" t="n">
        <v>36061</v>
      </c>
      <c r="F664" s="7" t="n">
        <v>16765</v>
      </c>
      <c r="G664" s="7" t="n">
        <v>1264</v>
      </c>
      <c r="H664" s="7" t="n">
        <v>41</v>
      </c>
      <c r="I664" s="7" t="n">
        <v>69</v>
      </c>
      <c r="J664" s="8" t="n">
        <v>8.2</v>
      </c>
      <c r="K664" s="9" t="n">
        <f aca="false">(G664+H664+I664)/E664</f>
        <v>0.0381021047669227</v>
      </c>
    </row>
    <row r="665" customFormat="false" ht="14.25" hidden="false" customHeight="true" outlineLevel="0" collapsed="false">
      <c r="A665" s="5" t="s">
        <v>689</v>
      </c>
      <c r="B665" s="5" t="s">
        <v>25</v>
      </c>
      <c r="C665" s="6" t="n">
        <v>45921</v>
      </c>
      <c r="D665" s="5" t="s">
        <v>23</v>
      </c>
      <c r="E665" s="7" t="n">
        <v>376171</v>
      </c>
      <c r="F665" s="7" t="n">
        <v>118382</v>
      </c>
      <c r="G665" s="7" t="n">
        <v>11737</v>
      </c>
      <c r="H665" s="7" t="n">
        <v>1769</v>
      </c>
      <c r="I665" s="7" t="n">
        <v>1756</v>
      </c>
      <c r="J665" s="8" t="n">
        <v>12.89</v>
      </c>
      <c r="K665" s="9" t="n">
        <f aca="false">(G665+H665+I665)/E665</f>
        <v>0.0405719739161179</v>
      </c>
    </row>
    <row r="666" customFormat="false" ht="14.25" hidden="false" customHeight="true" outlineLevel="0" collapsed="false">
      <c r="A666" s="5" t="s">
        <v>690</v>
      </c>
      <c r="B666" s="5" t="s">
        <v>18</v>
      </c>
      <c r="C666" s="6" t="n">
        <v>45988</v>
      </c>
      <c r="D666" s="5" t="s">
        <v>26</v>
      </c>
      <c r="E666" s="7" t="n">
        <v>29184</v>
      </c>
      <c r="F666" s="7" t="n">
        <v>14749</v>
      </c>
      <c r="G666" s="7" t="n">
        <v>680</v>
      </c>
      <c r="H666" s="7" t="n">
        <v>106</v>
      </c>
      <c r="I666" s="7" t="n">
        <v>54</v>
      </c>
      <c r="J666" s="8" t="n">
        <v>5.7</v>
      </c>
      <c r="K666" s="9" t="n">
        <f aca="false">(G666+H666+I666)/E666</f>
        <v>0.0287828947368421</v>
      </c>
    </row>
    <row r="667" customFormat="false" ht="14.25" hidden="false" customHeight="true" outlineLevel="0" collapsed="false">
      <c r="A667" s="5" t="s">
        <v>691</v>
      </c>
      <c r="B667" s="5" t="s">
        <v>22</v>
      </c>
      <c r="C667" s="6" t="n">
        <v>45729</v>
      </c>
      <c r="D667" s="5" t="s">
        <v>23</v>
      </c>
      <c r="E667" s="7" t="n">
        <v>69393</v>
      </c>
      <c r="F667" s="7" t="n">
        <v>59476</v>
      </c>
      <c r="G667" s="7" t="n">
        <v>584</v>
      </c>
      <c r="H667" s="7" t="n">
        <v>275</v>
      </c>
      <c r="I667" s="7" t="n">
        <v>1046</v>
      </c>
      <c r="J667" s="8" t="n">
        <v>3.2</v>
      </c>
      <c r="K667" s="9" t="n">
        <f aca="false">(G667+H667+I667)/E667</f>
        <v>0.0274523366910207</v>
      </c>
    </row>
    <row r="668" customFormat="false" ht="14.25" hidden="false" customHeight="true" outlineLevel="0" collapsed="false">
      <c r="A668" s="5" t="s">
        <v>692</v>
      </c>
      <c r="B668" s="5" t="s">
        <v>33</v>
      </c>
      <c r="C668" s="6" t="n">
        <v>45461</v>
      </c>
      <c r="D668" s="5" t="s">
        <v>23</v>
      </c>
      <c r="E668" s="7" t="n">
        <v>13645</v>
      </c>
      <c r="F668" s="7" t="n">
        <v>6811</v>
      </c>
      <c r="G668" s="7" t="n">
        <v>361</v>
      </c>
      <c r="H668" s="7" t="n">
        <v>67</v>
      </c>
      <c r="I668" s="7" t="n">
        <v>96</v>
      </c>
      <c r="J668" s="8" t="n">
        <v>7.69</v>
      </c>
      <c r="K668" s="9" t="n">
        <f aca="false">(G668+H668+I668)/E668</f>
        <v>0.0384023451813851</v>
      </c>
    </row>
    <row r="669" customFormat="false" ht="14.25" hidden="false" customHeight="true" outlineLevel="0" collapsed="false">
      <c r="A669" s="5" t="s">
        <v>693</v>
      </c>
      <c r="B669" s="5" t="s">
        <v>18</v>
      </c>
      <c r="C669" s="6" t="n">
        <v>45519</v>
      </c>
      <c r="D669" s="5" t="s">
        <v>23</v>
      </c>
      <c r="E669" s="7" t="n">
        <v>81658</v>
      </c>
      <c r="F669" s="7" t="n">
        <v>62205</v>
      </c>
      <c r="G669" s="7" t="n">
        <v>4673</v>
      </c>
      <c r="H669" s="7" t="n">
        <v>461</v>
      </c>
      <c r="I669" s="7" t="n">
        <v>445</v>
      </c>
      <c r="J669" s="8" t="n">
        <v>8.97</v>
      </c>
      <c r="K669" s="9" t="n">
        <f aca="false">(G669+H669+I669)/E669</f>
        <v>0.0683215361630214</v>
      </c>
    </row>
    <row r="670" customFormat="false" ht="14.25" hidden="false" customHeight="true" outlineLevel="0" collapsed="false">
      <c r="A670" s="5" t="s">
        <v>694</v>
      </c>
      <c r="B670" s="5" t="s">
        <v>22</v>
      </c>
      <c r="C670" s="6" t="n">
        <v>45300</v>
      </c>
      <c r="D670" s="5" t="s">
        <v>15</v>
      </c>
      <c r="E670" s="7" t="n">
        <v>15327</v>
      </c>
      <c r="F670" s="7" t="n">
        <v>12694</v>
      </c>
      <c r="G670" s="7" t="n">
        <v>314</v>
      </c>
      <c r="H670" s="7" t="n">
        <v>26</v>
      </c>
      <c r="I670" s="7" t="n">
        <v>245</v>
      </c>
      <c r="J670" s="8" t="n">
        <v>4.61</v>
      </c>
      <c r="K670" s="9" t="n">
        <f aca="false">(G670+H670+I670)/E670</f>
        <v>0.0381679389312977</v>
      </c>
    </row>
    <row r="671" customFormat="false" ht="14.25" hidden="false" customHeight="true" outlineLevel="0" collapsed="false">
      <c r="A671" s="5" t="s">
        <v>695</v>
      </c>
      <c r="B671" s="5" t="s">
        <v>25</v>
      </c>
      <c r="C671" s="6" t="n">
        <v>45490</v>
      </c>
      <c r="D671" s="5" t="s">
        <v>23</v>
      </c>
      <c r="E671" s="7" t="n">
        <v>186198</v>
      </c>
      <c r="F671" s="7" t="n">
        <v>108919</v>
      </c>
      <c r="G671" s="7" t="n">
        <v>4735</v>
      </c>
      <c r="H671" s="7" t="n">
        <v>2170</v>
      </c>
      <c r="I671" s="7" t="n">
        <v>3180</v>
      </c>
      <c r="J671" s="8" t="n">
        <v>9.26</v>
      </c>
      <c r="K671" s="9" t="n">
        <f aca="false">(G671+H671+I671)/E671</f>
        <v>0.0541627729621156</v>
      </c>
    </row>
    <row r="672" customFormat="false" ht="14.25" hidden="false" customHeight="true" outlineLevel="0" collapsed="false">
      <c r="A672" s="5" t="s">
        <v>696</v>
      </c>
      <c r="B672" s="5" t="s">
        <v>25</v>
      </c>
      <c r="C672" s="6" t="n">
        <v>45608</v>
      </c>
      <c r="D672" s="5" t="s">
        <v>26</v>
      </c>
      <c r="E672" s="7" t="n">
        <v>321812</v>
      </c>
      <c r="F672" s="7" t="n">
        <v>105478</v>
      </c>
      <c r="G672" s="7" t="n">
        <v>8808</v>
      </c>
      <c r="H672" s="7" t="n">
        <v>1141</v>
      </c>
      <c r="I672" s="7" t="n">
        <v>4652</v>
      </c>
      <c r="J672" s="8" t="n">
        <v>13.84</v>
      </c>
      <c r="K672" s="9" t="n">
        <f aca="false">(G672+H672+I672)/E672</f>
        <v>0.0453712105204281</v>
      </c>
    </row>
    <row r="673" customFormat="false" ht="14.25" hidden="false" customHeight="true" outlineLevel="0" collapsed="false">
      <c r="A673" s="5" t="s">
        <v>697</v>
      </c>
      <c r="B673" s="5" t="s">
        <v>22</v>
      </c>
      <c r="C673" s="6" t="n">
        <v>45583</v>
      </c>
      <c r="D673" s="5" t="s">
        <v>15</v>
      </c>
      <c r="E673" s="7" t="n">
        <v>14268</v>
      </c>
      <c r="F673" s="7" t="n">
        <v>11633</v>
      </c>
      <c r="G673" s="7" t="n">
        <v>131</v>
      </c>
      <c r="H673" s="7" t="n">
        <v>88</v>
      </c>
      <c r="I673" s="7" t="n">
        <v>139</v>
      </c>
      <c r="J673" s="8" t="n">
        <v>3.08</v>
      </c>
      <c r="K673" s="9" t="n">
        <f aca="false">(G673+H673+I673)/E673</f>
        <v>0.0250911129800953</v>
      </c>
    </row>
    <row r="674" customFormat="false" ht="14.25" hidden="false" customHeight="true" outlineLevel="0" collapsed="false">
      <c r="A674" s="5" t="s">
        <v>698</v>
      </c>
      <c r="B674" s="5" t="s">
        <v>18</v>
      </c>
      <c r="C674" s="6" t="n">
        <v>45704</v>
      </c>
      <c r="D674" s="5" t="s">
        <v>28</v>
      </c>
      <c r="E674" s="7" t="n">
        <v>47971</v>
      </c>
      <c r="F674" s="7" t="n">
        <v>29910</v>
      </c>
      <c r="G674" s="7" t="n">
        <v>1900</v>
      </c>
      <c r="H674" s="7" t="n">
        <v>203</v>
      </c>
      <c r="I674" s="7" t="n">
        <v>206</v>
      </c>
      <c r="J674" s="8" t="n">
        <v>7.72</v>
      </c>
      <c r="K674" s="9" t="n">
        <f aca="false">(G674+H674+I674)/E674</f>
        <v>0.0481332471701653</v>
      </c>
    </row>
    <row r="675" customFormat="false" ht="14.25" hidden="false" customHeight="true" outlineLevel="0" collapsed="false">
      <c r="A675" s="5" t="s">
        <v>699</v>
      </c>
      <c r="B675" s="5" t="s">
        <v>18</v>
      </c>
      <c r="C675" s="6" t="n">
        <v>45553</v>
      </c>
      <c r="D675" s="5" t="s">
        <v>28</v>
      </c>
      <c r="E675" s="7" t="n">
        <v>12818</v>
      </c>
      <c r="F675" s="7" t="n">
        <v>7169</v>
      </c>
      <c r="G675" s="7" t="n">
        <v>546</v>
      </c>
      <c r="H675" s="7" t="n">
        <v>107</v>
      </c>
      <c r="I675" s="7" t="n">
        <v>19</v>
      </c>
      <c r="J675" s="8" t="n">
        <v>9.37</v>
      </c>
      <c r="K675" s="9" t="n">
        <f aca="false">(G675+H675+I675)/E675</f>
        <v>0.0524262755500078</v>
      </c>
    </row>
    <row r="676" customFormat="false" ht="14.25" hidden="false" customHeight="true" outlineLevel="0" collapsed="false">
      <c r="A676" s="5" t="s">
        <v>700</v>
      </c>
      <c r="B676" s="5" t="s">
        <v>33</v>
      </c>
      <c r="C676" s="6" t="n">
        <v>45358</v>
      </c>
      <c r="D676" s="5" t="s">
        <v>15</v>
      </c>
      <c r="E676" s="7" t="n">
        <v>15500</v>
      </c>
      <c r="F676" s="7" t="n">
        <v>7254</v>
      </c>
      <c r="G676" s="7" t="n">
        <v>329</v>
      </c>
      <c r="H676" s="7" t="n">
        <v>93</v>
      </c>
      <c r="I676" s="7" t="n">
        <v>38</v>
      </c>
      <c r="J676" s="8" t="n">
        <v>6.34</v>
      </c>
      <c r="K676" s="9" t="n">
        <f aca="false">(G676+H676+I676)/E676</f>
        <v>0.0296774193548387</v>
      </c>
    </row>
    <row r="677" customFormat="false" ht="14.25" hidden="false" customHeight="true" outlineLevel="0" collapsed="false">
      <c r="A677" s="5" t="s">
        <v>701</v>
      </c>
      <c r="B677" s="5" t="s">
        <v>18</v>
      </c>
      <c r="C677" s="6" t="n">
        <v>45815</v>
      </c>
      <c r="D677" s="5" t="s">
        <v>28</v>
      </c>
      <c r="E677" s="7" t="n">
        <v>52663</v>
      </c>
      <c r="F677" s="7" t="n">
        <v>27199</v>
      </c>
      <c r="G677" s="7" t="n">
        <v>548</v>
      </c>
      <c r="H677" s="7" t="n">
        <v>231</v>
      </c>
      <c r="I677" s="7" t="n">
        <v>211</v>
      </c>
      <c r="J677" s="8" t="n">
        <v>3.64</v>
      </c>
      <c r="K677" s="9" t="n">
        <f aca="false">(G677+H677+I677)/E677</f>
        <v>0.0187987771300534</v>
      </c>
    </row>
    <row r="678" customFormat="false" ht="14.25" hidden="false" customHeight="true" outlineLevel="0" collapsed="false">
      <c r="A678" s="5" t="s">
        <v>702</v>
      </c>
      <c r="B678" s="5" t="s">
        <v>25</v>
      </c>
      <c r="C678" s="6" t="n">
        <v>45721</v>
      </c>
      <c r="D678" s="5" t="s">
        <v>23</v>
      </c>
      <c r="E678" s="7" t="n">
        <v>173804</v>
      </c>
      <c r="F678" s="7" t="n">
        <v>101955</v>
      </c>
      <c r="G678" s="7" t="n">
        <v>5613</v>
      </c>
      <c r="H678" s="7" t="n">
        <v>882</v>
      </c>
      <c r="I678" s="7" t="n">
        <v>4341</v>
      </c>
      <c r="J678" s="8" t="n">
        <v>10.63</v>
      </c>
      <c r="K678" s="9" t="n">
        <f aca="false">(G678+H678+I678)/E678</f>
        <v>0.0623460909990564</v>
      </c>
    </row>
    <row r="679" customFormat="false" ht="14.25" hidden="false" customHeight="true" outlineLevel="0" collapsed="false">
      <c r="A679" s="5" t="s">
        <v>703</v>
      </c>
      <c r="B679" s="5" t="s">
        <v>22</v>
      </c>
      <c r="C679" s="6" t="n">
        <v>45926</v>
      </c>
      <c r="D679" s="5" t="s">
        <v>19</v>
      </c>
      <c r="E679" s="7" t="n">
        <v>3759</v>
      </c>
      <c r="F679" s="7" t="n">
        <v>2971</v>
      </c>
      <c r="G679" s="7" t="n">
        <v>69</v>
      </c>
      <c r="H679" s="7" t="n">
        <v>12</v>
      </c>
      <c r="I679" s="7" t="n">
        <v>33</v>
      </c>
      <c r="J679" s="8" t="n">
        <v>3.84</v>
      </c>
      <c r="K679" s="9" t="n">
        <f aca="false">(G679+H679+I679)/E679</f>
        <v>0.0303272146847566</v>
      </c>
    </row>
    <row r="680" customFormat="false" ht="14.25" hidden="false" customHeight="true" outlineLevel="0" collapsed="false">
      <c r="A680" s="5" t="s">
        <v>704</v>
      </c>
      <c r="B680" s="5" t="s">
        <v>22</v>
      </c>
      <c r="C680" s="6" t="n">
        <v>45562</v>
      </c>
      <c r="D680" s="5" t="s">
        <v>23</v>
      </c>
      <c r="E680" s="7" t="n">
        <v>65387</v>
      </c>
      <c r="F680" s="7" t="n">
        <v>56790</v>
      </c>
      <c r="G680" s="7" t="n">
        <v>780</v>
      </c>
      <c r="H680" s="7" t="n">
        <v>336</v>
      </c>
      <c r="I680" s="7" t="n">
        <v>826</v>
      </c>
      <c r="J680" s="8" t="n">
        <v>3.42</v>
      </c>
      <c r="K680" s="9" t="n">
        <f aca="false">(G680+H680+I680)/E680</f>
        <v>0.0297000932907153</v>
      </c>
    </row>
    <row r="681" customFormat="false" ht="14.25" hidden="false" customHeight="true" outlineLevel="0" collapsed="false">
      <c r="A681" s="5" t="s">
        <v>705</v>
      </c>
      <c r="B681" s="5" t="s">
        <v>33</v>
      </c>
      <c r="C681" s="6" t="n">
        <v>45967</v>
      </c>
      <c r="D681" s="5" t="s">
        <v>19</v>
      </c>
      <c r="E681" s="7" t="n">
        <v>17581</v>
      </c>
      <c r="F681" s="7" t="n">
        <v>7295</v>
      </c>
      <c r="G681" s="7" t="n">
        <v>319</v>
      </c>
      <c r="H681" s="7" t="n">
        <v>105</v>
      </c>
      <c r="I681" s="7" t="n">
        <v>47</v>
      </c>
      <c r="J681" s="8" t="n">
        <v>6.46</v>
      </c>
      <c r="K681" s="9" t="n">
        <f aca="false">(G681+H681+I681)/E681</f>
        <v>0.0267902849667254</v>
      </c>
    </row>
    <row r="682" customFormat="false" ht="14.25" hidden="false" customHeight="true" outlineLevel="0" collapsed="false">
      <c r="A682" s="5" t="s">
        <v>706</v>
      </c>
      <c r="B682" s="5" t="s">
        <v>18</v>
      </c>
      <c r="C682" s="6" t="n">
        <v>45389</v>
      </c>
      <c r="D682" s="5" t="s">
        <v>26</v>
      </c>
      <c r="E682" s="7" t="n">
        <v>39451</v>
      </c>
      <c r="F682" s="7" t="n">
        <v>23090</v>
      </c>
      <c r="G682" s="7" t="n">
        <v>792</v>
      </c>
      <c r="H682" s="7" t="n">
        <v>295</v>
      </c>
      <c r="I682" s="7" t="n">
        <v>221</v>
      </c>
      <c r="J682" s="8" t="n">
        <v>5.66</v>
      </c>
      <c r="K682" s="9" t="n">
        <f aca="false">(G682+H682+I682)/E682</f>
        <v>0.0331550531038504</v>
      </c>
    </row>
    <row r="683" customFormat="false" ht="14.25" hidden="false" customHeight="true" outlineLevel="0" collapsed="false">
      <c r="A683" s="5" t="s">
        <v>707</v>
      </c>
      <c r="B683" s="5" t="s">
        <v>18</v>
      </c>
      <c r="C683" s="6" t="n">
        <v>45529</v>
      </c>
      <c r="D683" s="5" t="s">
        <v>19</v>
      </c>
      <c r="E683" s="7" t="n">
        <v>49080</v>
      </c>
      <c r="F683" s="7" t="n">
        <v>30039</v>
      </c>
      <c r="G683" s="7" t="n">
        <v>2323</v>
      </c>
      <c r="H683" s="7" t="n">
        <v>218</v>
      </c>
      <c r="I683" s="7" t="n">
        <v>205</v>
      </c>
      <c r="J683" s="8" t="n">
        <v>9.14</v>
      </c>
      <c r="K683" s="9" t="n">
        <f aca="false">(G683+H683+I683)/E683</f>
        <v>0.0559494702526487</v>
      </c>
    </row>
    <row r="684" customFormat="false" ht="14.25" hidden="false" customHeight="true" outlineLevel="0" collapsed="false">
      <c r="A684" s="5" t="s">
        <v>708</v>
      </c>
      <c r="B684" s="5" t="s">
        <v>18</v>
      </c>
      <c r="C684" s="6" t="n">
        <v>45333</v>
      </c>
      <c r="D684" s="5" t="s">
        <v>19</v>
      </c>
      <c r="E684" s="7" t="n">
        <v>15266</v>
      </c>
      <c r="F684" s="7" t="n">
        <v>10760</v>
      </c>
      <c r="G684" s="7" t="n">
        <v>456</v>
      </c>
      <c r="H684" s="7" t="n">
        <v>21</v>
      </c>
      <c r="I684" s="7" t="n">
        <v>54</v>
      </c>
      <c r="J684" s="8" t="n">
        <v>4.93</v>
      </c>
      <c r="K684" s="9" t="n">
        <f aca="false">(G684+H684+I684)/E684</f>
        <v>0.0347831783047295</v>
      </c>
    </row>
    <row r="685" customFormat="false" ht="14.25" hidden="false" customHeight="true" outlineLevel="0" collapsed="false">
      <c r="A685" s="5" t="s">
        <v>709</v>
      </c>
      <c r="B685" s="5" t="s">
        <v>22</v>
      </c>
      <c r="C685" s="6" t="n">
        <v>45849</v>
      </c>
      <c r="D685" s="5" t="s">
        <v>15</v>
      </c>
      <c r="E685" s="7" t="n">
        <v>4895</v>
      </c>
      <c r="F685" s="7" t="n">
        <v>2931</v>
      </c>
      <c r="G685" s="7" t="n">
        <v>40</v>
      </c>
      <c r="H685" s="7" t="n">
        <v>14</v>
      </c>
      <c r="I685" s="7" t="n">
        <v>55</v>
      </c>
      <c r="J685" s="8" t="n">
        <v>3.72</v>
      </c>
      <c r="K685" s="9" t="n">
        <f aca="false">(G685+H685+I685)/E685</f>
        <v>0.022267620020429</v>
      </c>
    </row>
    <row r="686" customFormat="false" ht="14.25" hidden="false" customHeight="true" outlineLevel="0" collapsed="false">
      <c r="A686" s="5" t="s">
        <v>710</v>
      </c>
      <c r="B686" s="5" t="s">
        <v>18</v>
      </c>
      <c r="C686" s="6" t="n">
        <v>45412</v>
      </c>
      <c r="D686" s="5" t="s">
        <v>23</v>
      </c>
      <c r="E686" s="7" t="n">
        <v>71625</v>
      </c>
      <c r="F686" s="7" t="n">
        <v>34855</v>
      </c>
      <c r="G686" s="7" t="n">
        <v>2566</v>
      </c>
      <c r="H686" s="7" t="n">
        <v>381</v>
      </c>
      <c r="I686" s="7" t="n">
        <v>148</v>
      </c>
      <c r="J686" s="8" t="n">
        <v>8.88</v>
      </c>
      <c r="K686" s="9" t="n">
        <f aca="false">(G686+H686+I686)/E686</f>
        <v>0.0432111692844677</v>
      </c>
    </row>
    <row r="687" customFormat="false" ht="14.25" hidden="false" customHeight="true" outlineLevel="0" collapsed="false">
      <c r="A687" s="5" t="s">
        <v>711</v>
      </c>
      <c r="B687" s="5" t="s">
        <v>18</v>
      </c>
      <c r="C687" s="6" t="n">
        <v>45880</v>
      </c>
      <c r="D687" s="5" t="s">
        <v>26</v>
      </c>
      <c r="E687" s="7" t="n">
        <v>18738</v>
      </c>
      <c r="F687" s="7" t="n">
        <v>10443</v>
      </c>
      <c r="G687" s="7" t="n">
        <v>526</v>
      </c>
      <c r="H687" s="7" t="n">
        <v>118</v>
      </c>
      <c r="I687" s="7" t="n">
        <v>55</v>
      </c>
      <c r="J687" s="8" t="n">
        <v>6.69</v>
      </c>
      <c r="K687" s="9" t="n">
        <f aca="false">(G687+H687+I687)/E687</f>
        <v>0.037303874479667</v>
      </c>
    </row>
    <row r="688" customFormat="false" ht="14.25" hidden="false" customHeight="true" outlineLevel="0" collapsed="false">
      <c r="A688" s="5" t="s">
        <v>712</v>
      </c>
      <c r="B688" s="5" t="s">
        <v>22</v>
      </c>
      <c r="C688" s="6" t="n">
        <v>45983</v>
      </c>
      <c r="D688" s="5" t="s">
        <v>15</v>
      </c>
      <c r="E688" s="7" t="n">
        <v>2570</v>
      </c>
      <c r="F688" s="7" t="n">
        <v>1852</v>
      </c>
      <c r="G688" s="7" t="n">
        <v>22</v>
      </c>
      <c r="H688" s="7" t="n">
        <v>5</v>
      </c>
      <c r="I688" s="7" t="n">
        <v>7</v>
      </c>
      <c r="J688" s="8" t="n">
        <v>1.84</v>
      </c>
      <c r="K688" s="9" t="n">
        <f aca="false">(G688+H688+I688)/E688</f>
        <v>0.0132295719844358</v>
      </c>
    </row>
    <row r="689" customFormat="false" ht="14.25" hidden="false" customHeight="true" outlineLevel="0" collapsed="false">
      <c r="A689" s="5" t="s">
        <v>713</v>
      </c>
      <c r="B689" s="5" t="s">
        <v>25</v>
      </c>
      <c r="C689" s="6" t="n">
        <v>45554</v>
      </c>
      <c r="D689" s="5" t="s">
        <v>26</v>
      </c>
      <c r="E689" s="7" t="n">
        <v>136086</v>
      </c>
      <c r="F689" s="7" t="n">
        <v>60218</v>
      </c>
      <c r="G689" s="7" t="n">
        <v>3956</v>
      </c>
      <c r="H689" s="7" t="n">
        <v>1120</v>
      </c>
      <c r="I689" s="7" t="n">
        <v>1705</v>
      </c>
      <c r="J689" s="8" t="n">
        <v>11.26</v>
      </c>
      <c r="K689" s="9" t="n">
        <f aca="false">(G689+H689+I689)/E689</f>
        <v>0.0498287847390621</v>
      </c>
    </row>
    <row r="690" customFormat="false" ht="14.25" hidden="false" customHeight="true" outlineLevel="0" collapsed="false">
      <c r="A690" s="5" t="s">
        <v>714</v>
      </c>
      <c r="B690" s="5" t="s">
        <v>18</v>
      </c>
      <c r="C690" s="6" t="n">
        <v>45298</v>
      </c>
      <c r="D690" s="5" t="s">
        <v>28</v>
      </c>
      <c r="E690" s="7" t="n">
        <v>34283</v>
      </c>
      <c r="F690" s="7" t="n">
        <v>18836</v>
      </c>
      <c r="G690" s="7" t="n">
        <v>1092</v>
      </c>
      <c r="H690" s="7" t="n">
        <v>66</v>
      </c>
      <c r="I690" s="7" t="n">
        <v>144</v>
      </c>
      <c r="J690" s="8" t="n">
        <v>6.91</v>
      </c>
      <c r="K690" s="9" t="n">
        <f aca="false">(G690+H690+I690)/E690</f>
        <v>0.0379780065921886</v>
      </c>
    </row>
    <row r="691" customFormat="false" ht="14.25" hidden="false" customHeight="true" outlineLevel="0" collapsed="false">
      <c r="A691" s="5" t="s">
        <v>715</v>
      </c>
      <c r="B691" s="5" t="s">
        <v>18</v>
      </c>
      <c r="C691" s="6" t="n">
        <v>45414</v>
      </c>
      <c r="D691" s="5" t="s">
        <v>23</v>
      </c>
      <c r="E691" s="7" t="n">
        <v>1615</v>
      </c>
      <c r="F691" s="7" t="n">
        <v>702</v>
      </c>
      <c r="G691" s="7" t="n">
        <v>21</v>
      </c>
      <c r="H691" s="7" t="n">
        <v>4</v>
      </c>
      <c r="I691" s="7" t="n">
        <v>6</v>
      </c>
      <c r="J691" s="8" t="n">
        <v>4.42</v>
      </c>
      <c r="K691" s="9" t="n">
        <f aca="false">(G691+H691+I691)/E691</f>
        <v>0.0191950464396285</v>
      </c>
    </row>
    <row r="692" customFormat="false" ht="14.25" hidden="false" customHeight="true" outlineLevel="0" collapsed="false">
      <c r="A692" s="5" t="s">
        <v>716</v>
      </c>
      <c r="B692" s="5" t="s">
        <v>33</v>
      </c>
      <c r="C692" s="6" t="n">
        <v>46015</v>
      </c>
      <c r="D692" s="5" t="s">
        <v>28</v>
      </c>
      <c r="E692" s="7" t="n">
        <v>30298</v>
      </c>
      <c r="F692" s="7" t="n">
        <v>17070</v>
      </c>
      <c r="G692" s="7" t="n">
        <v>518</v>
      </c>
      <c r="H692" s="7" t="n">
        <v>236</v>
      </c>
      <c r="I692" s="7" t="n">
        <v>232</v>
      </c>
      <c r="J692" s="8" t="n">
        <v>5.78</v>
      </c>
      <c r="K692" s="9" t="n">
        <f aca="false">(G692+H692+I692)/E692</f>
        <v>0.032543402204766</v>
      </c>
    </row>
    <row r="693" customFormat="false" ht="14.25" hidden="false" customHeight="true" outlineLevel="0" collapsed="false">
      <c r="A693" s="5" t="s">
        <v>717</v>
      </c>
      <c r="B693" s="5" t="s">
        <v>33</v>
      </c>
      <c r="C693" s="6" t="n">
        <v>45581</v>
      </c>
      <c r="D693" s="5" t="s">
        <v>28</v>
      </c>
      <c r="E693" s="7" t="n">
        <v>16740</v>
      </c>
      <c r="F693" s="7" t="n">
        <v>7243</v>
      </c>
      <c r="G693" s="7" t="n">
        <v>220</v>
      </c>
      <c r="H693" s="7" t="n">
        <v>158</v>
      </c>
      <c r="I693" s="7" t="n">
        <v>104</v>
      </c>
      <c r="J693" s="8" t="n">
        <v>6.65</v>
      </c>
      <c r="K693" s="9" t="n">
        <f aca="false">(G693+H693+I693)/E693</f>
        <v>0.0287933094384707</v>
      </c>
    </row>
    <row r="694" customFormat="false" ht="14.25" hidden="false" customHeight="true" outlineLevel="0" collapsed="false">
      <c r="A694" s="5" t="s">
        <v>718</v>
      </c>
      <c r="B694" s="5" t="s">
        <v>18</v>
      </c>
      <c r="C694" s="6" t="n">
        <v>45617</v>
      </c>
      <c r="D694" s="5" t="s">
        <v>19</v>
      </c>
      <c r="E694" s="7" t="n">
        <v>25252</v>
      </c>
      <c r="F694" s="7" t="n">
        <v>13577</v>
      </c>
      <c r="G694" s="7" t="n">
        <v>473</v>
      </c>
      <c r="H694" s="7" t="n">
        <v>128</v>
      </c>
      <c r="I694" s="7" t="n">
        <v>17</v>
      </c>
      <c r="J694" s="8" t="n">
        <v>4.55</v>
      </c>
      <c r="K694" s="9" t="n">
        <f aca="false">(G694+H694+I694)/E694</f>
        <v>0.0244733090448281</v>
      </c>
    </row>
    <row r="695" customFormat="false" ht="14.25" hidden="false" customHeight="true" outlineLevel="0" collapsed="false">
      <c r="A695" s="5" t="s">
        <v>719</v>
      </c>
      <c r="B695" s="5" t="s">
        <v>33</v>
      </c>
      <c r="C695" s="6" t="n">
        <v>45354</v>
      </c>
      <c r="D695" s="5" t="s">
        <v>28</v>
      </c>
      <c r="E695" s="7" t="n">
        <v>30617</v>
      </c>
      <c r="F695" s="7" t="n">
        <v>23813</v>
      </c>
      <c r="G695" s="7" t="n">
        <v>1140</v>
      </c>
      <c r="H695" s="7" t="n">
        <v>433</v>
      </c>
      <c r="I695" s="7" t="n">
        <v>194</v>
      </c>
      <c r="J695" s="8" t="n">
        <v>7.42</v>
      </c>
      <c r="K695" s="9" t="n">
        <f aca="false">(G695+H695+I695)/E695</f>
        <v>0.0577130352418591</v>
      </c>
    </row>
    <row r="696" customFormat="false" ht="14.25" hidden="false" customHeight="true" outlineLevel="0" collapsed="false">
      <c r="A696" s="5" t="s">
        <v>720</v>
      </c>
      <c r="B696" s="5" t="s">
        <v>14</v>
      </c>
      <c r="C696" s="6" t="n">
        <v>45589</v>
      </c>
      <c r="D696" s="5" t="s">
        <v>28</v>
      </c>
      <c r="E696" s="7" t="n">
        <v>5867</v>
      </c>
      <c r="F696" s="7" t="n">
        <v>3418</v>
      </c>
      <c r="G696" s="7" t="n">
        <v>166</v>
      </c>
      <c r="H696" s="7" t="n">
        <v>57</v>
      </c>
      <c r="I696" s="7" t="n">
        <v>101</v>
      </c>
      <c r="J696" s="8" t="n">
        <v>9.48</v>
      </c>
      <c r="K696" s="9" t="n">
        <f aca="false">(G696+H696+I696)/E696</f>
        <v>0.05522413499233</v>
      </c>
    </row>
    <row r="697" customFormat="false" ht="14.25" hidden="false" customHeight="true" outlineLevel="0" collapsed="false">
      <c r="A697" s="5" t="s">
        <v>721</v>
      </c>
      <c r="B697" s="5" t="s">
        <v>14</v>
      </c>
      <c r="C697" s="6" t="n">
        <v>45538</v>
      </c>
      <c r="D697" s="5" t="s">
        <v>19</v>
      </c>
      <c r="E697" s="7" t="n">
        <v>12837</v>
      </c>
      <c r="F697" s="7" t="n">
        <v>7866</v>
      </c>
      <c r="G697" s="7" t="n">
        <v>120</v>
      </c>
      <c r="H697" s="7" t="n">
        <v>146</v>
      </c>
      <c r="I697" s="7" t="n">
        <v>167</v>
      </c>
      <c r="J697" s="8" t="n">
        <v>5.5</v>
      </c>
      <c r="K697" s="9" t="n">
        <f aca="false">(G697+H697+I697)/E697</f>
        <v>0.0337306224195684</v>
      </c>
    </row>
    <row r="698" customFormat="false" ht="14.25" hidden="false" customHeight="true" outlineLevel="0" collapsed="false">
      <c r="A698" s="5" t="s">
        <v>722</v>
      </c>
      <c r="B698" s="5" t="s">
        <v>22</v>
      </c>
      <c r="C698" s="6" t="n">
        <v>45523</v>
      </c>
      <c r="D698" s="5" t="s">
        <v>23</v>
      </c>
      <c r="E698" s="7" t="n">
        <v>19532</v>
      </c>
      <c r="F698" s="7" t="n">
        <v>16443</v>
      </c>
      <c r="G698" s="7" t="n">
        <v>132</v>
      </c>
      <c r="H698" s="7" t="n">
        <v>51</v>
      </c>
      <c r="I698" s="7" t="n">
        <v>177</v>
      </c>
      <c r="J698" s="8" t="n">
        <v>2.19</v>
      </c>
      <c r="K698" s="9" t="n">
        <f aca="false">(G698+H698+I698)/E698</f>
        <v>0.018431292238378</v>
      </c>
    </row>
    <row r="699" customFormat="false" ht="14.25" hidden="false" customHeight="true" outlineLevel="0" collapsed="false">
      <c r="A699" s="5" t="s">
        <v>723</v>
      </c>
      <c r="B699" s="5" t="s">
        <v>33</v>
      </c>
      <c r="C699" s="6" t="n">
        <v>45337</v>
      </c>
      <c r="D699" s="5" t="s">
        <v>23</v>
      </c>
      <c r="E699" s="7" t="n">
        <v>36021</v>
      </c>
      <c r="F699" s="7" t="n">
        <v>24509</v>
      </c>
      <c r="G699" s="7" t="n">
        <v>567</v>
      </c>
      <c r="H699" s="7" t="n">
        <v>389</v>
      </c>
      <c r="I699" s="7" t="n">
        <v>136</v>
      </c>
      <c r="J699" s="8" t="n">
        <v>4.46</v>
      </c>
      <c r="K699" s="9" t="n">
        <f aca="false">(G699+H699+I699)/E699</f>
        <v>0.0303156492046306</v>
      </c>
    </row>
    <row r="700" customFormat="false" ht="14.25" hidden="false" customHeight="true" outlineLevel="0" collapsed="false">
      <c r="A700" s="5" t="s">
        <v>724</v>
      </c>
      <c r="B700" s="5" t="s">
        <v>25</v>
      </c>
      <c r="C700" s="6" t="n">
        <v>45833</v>
      </c>
      <c r="D700" s="5" t="s">
        <v>23</v>
      </c>
      <c r="E700" s="7" t="n">
        <v>516709</v>
      </c>
      <c r="F700" s="7" t="n">
        <v>268928</v>
      </c>
      <c r="G700" s="7" t="n">
        <v>8894</v>
      </c>
      <c r="H700" s="7" t="n">
        <v>4022</v>
      </c>
      <c r="I700" s="7" t="n">
        <v>2718</v>
      </c>
      <c r="J700" s="8" t="n">
        <v>5.81</v>
      </c>
      <c r="K700" s="9" t="n">
        <f aca="false">(G700+H700+I700)/E700</f>
        <v>0.0302568757269566</v>
      </c>
    </row>
    <row r="701" customFormat="false" ht="14.25" hidden="false" customHeight="true" outlineLevel="0" collapsed="false">
      <c r="A701" s="5" t="s">
        <v>725</v>
      </c>
      <c r="B701" s="5" t="s">
        <v>33</v>
      </c>
      <c r="C701" s="6" t="n">
        <v>45921</v>
      </c>
      <c r="D701" s="5" t="s">
        <v>19</v>
      </c>
      <c r="E701" s="7" t="n">
        <v>1750</v>
      </c>
      <c r="F701" s="7" t="n">
        <v>1317</v>
      </c>
      <c r="G701" s="7" t="n">
        <v>41</v>
      </c>
      <c r="H701" s="7" t="n">
        <v>29</v>
      </c>
      <c r="I701" s="7" t="n">
        <v>14</v>
      </c>
      <c r="J701" s="8" t="n">
        <v>6.38</v>
      </c>
      <c r="K701" s="9" t="n">
        <f aca="false">(G701+H701+I701)/E701</f>
        <v>0.048</v>
      </c>
    </row>
    <row r="702" customFormat="false" ht="14.25" hidden="false" customHeight="true" outlineLevel="0" collapsed="false">
      <c r="A702" s="5" t="s">
        <v>726</v>
      </c>
      <c r="B702" s="5" t="s">
        <v>25</v>
      </c>
      <c r="C702" s="6" t="n">
        <v>45454</v>
      </c>
      <c r="D702" s="5" t="s">
        <v>23</v>
      </c>
      <c r="E702" s="7" t="n">
        <v>106828</v>
      </c>
      <c r="F702" s="7" t="n">
        <v>43898</v>
      </c>
      <c r="G702" s="7" t="n">
        <v>3859</v>
      </c>
      <c r="H702" s="7" t="n">
        <v>1088</v>
      </c>
      <c r="I702" s="7" t="n">
        <v>2101</v>
      </c>
      <c r="J702" s="8" t="n">
        <v>16.06</v>
      </c>
      <c r="K702" s="9" t="n">
        <f aca="false">(G702+H702+I702)/E702</f>
        <v>0.0659752124911072</v>
      </c>
    </row>
    <row r="703" customFormat="false" ht="14.25" hidden="false" customHeight="true" outlineLevel="0" collapsed="false">
      <c r="A703" s="5" t="s">
        <v>727</v>
      </c>
      <c r="B703" s="5" t="s">
        <v>25</v>
      </c>
      <c r="C703" s="6" t="n">
        <v>45718</v>
      </c>
      <c r="D703" s="5" t="s">
        <v>26</v>
      </c>
      <c r="E703" s="7" t="n">
        <v>49124</v>
      </c>
      <c r="F703" s="7" t="n">
        <v>26835</v>
      </c>
      <c r="G703" s="7" t="n">
        <v>3131</v>
      </c>
      <c r="H703" s="7" t="n">
        <v>481</v>
      </c>
      <c r="I703" s="7" t="n">
        <v>1317</v>
      </c>
      <c r="J703" s="8" t="n">
        <v>18.37</v>
      </c>
      <c r="K703" s="9" t="n">
        <f aca="false">(G703+H703+I703)/E703</f>
        <v>0.100337920364791</v>
      </c>
    </row>
    <row r="704" customFormat="false" ht="14.25" hidden="false" customHeight="true" outlineLevel="0" collapsed="false">
      <c r="A704" s="5" t="s">
        <v>728</v>
      </c>
      <c r="B704" s="5" t="s">
        <v>33</v>
      </c>
      <c r="C704" s="6" t="n">
        <v>45992</v>
      </c>
      <c r="D704" s="5" t="s">
        <v>23</v>
      </c>
      <c r="E704" s="7" t="n">
        <v>6463</v>
      </c>
      <c r="F704" s="7" t="n">
        <v>4557</v>
      </c>
      <c r="G704" s="7" t="n">
        <v>146</v>
      </c>
      <c r="H704" s="7" t="n">
        <v>24</v>
      </c>
      <c r="I704" s="7" t="n">
        <v>15</v>
      </c>
      <c r="J704" s="8" t="n">
        <v>4.06</v>
      </c>
      <c r="K704" s="9" t="n">
        <f aca="false">(G704+H704+I704)/E704</f>
        <v>0.0286244777966888</v>
      </c>
    </row>
    <row r="705" customFormat="false" ht="14.25" hidden="false" customHeight="true" outlineLevel="0" collapsed="false">
      <c r="A705" s="5" t="s">
        <v>729</v>
      </c>
      <c r="B705" s="5" t="s">
        <v>22</v>
      </c>
      <c r="C705" s="6" t="n">
        <v>45929</v>
      </c>
      <c r="D705" s="5" t="s">
        <v>15</v>
      </c>
      <c r="E705" s="7" t="n">
        <v>11643</v>
      </c>
      <c r="F705" s="7" t="n">
        <v>9539</v>
      </c>
      <c r="G705" s="7" t="n">
        <v>141</v>
      </c>
      <c r="H705" s="7" t="n">
        <v>22</v>
      </c>
      <c r="I705" s="7" t="n">
        <v>91</v>
      </c>
      <c r="J705" s="8" t="n">
        <v>2.66</v>
      </c>
      <c r="K705" s="9" t="n">
        <f aca="false">(G705+H705+I705)/E705</f>
        <v>0.0218156832431504</v>
      </c>
    </row>
    <row r="706" customFormat="false" ht="14.25" hidden="false" customHeight="true" outlineLevel="0" collapsed="false">
      <c r="A706" s="5" t="s">
        <v>730</v>
      </c>
      <c r="B706" s="5" t="s">
        <v>33</v>
      </c>
      <c r="C706" s="6" t="n">
        <v>45405</v>
      </c>
      <c r="D706" s="5" t="s">
        <v>15</v>
      </c>
      <c r="E706" s="7" t="n">
        <v>9622</v>
      </c>
      <c r="F706" s="7" t="n">
        <v>4784</v>
      </c>
      <c r="G706" s="7" t="n">
        <v>206</v>
      </c>
      <c r="H706" s="7" t="n">
        <v>57</v>
      </c>
      <c r="I706" s="7" t="n">
        <v>16</v>
      </c>
      <c r="J706" s="8" t="n">
        <v>5.83</v>
      </c>
      <c r="K706" s="9" t="n">
        <f aca="false">(G706+H706+I706)/E706</f>
        <v>0.0289960507171066</v>
      </c>
    </row>
    <row r="707" customFormat="false" ht="14.25" hidden="false" customHeight="true" outlineLevel="0" collapsed="false">
      <c r="A707" s="5" t="s">
        <v>731</v>
      </c>
      <c r="B707" s="5" t="s">
        <v>22</v>
      </c>
      <c r="C707" s="6" t="n">
        <v>45398</v>
      </c>
      <c r="D707" s="5" t="s">
        <v>19</v>
      </c>
      <c r="E707" s="7" t="n">
        <v>768</v>
      </c>
      <c r="F707" s="7" t="n">
        <v>675</v>
      </c>
      <c r="G707" s="7" t="n">
        <v>16</v>
      </c>
      <c r="H707" s="7" t="n">
        <v>3</v>
      </c>
      <c r="I707" s="7" t="n">
        <v>12</v>
      </c>
      <c r="J707" s="8" t="n">
        <v>4.59</v>
      </c>
      <c r="K707" s="9" t="n">
        <f aca="false">(G707+H707+I707)/E707</f>
        <v>0.0403645833333333</v>
      </c>
    </row>
    <row r="708" customFormat="false" ht="14.25" hidden="false" customHeight="true" outlineLevel="0" collapsed="false">
      <c r="A708" s="5" t="s">
        <v>732</v>
      </c>
      <c r="B708" s="5" t="s">
        <v>14</v>
      </c>
      <c r="C708" s="6" t="n">
        <v>45752</v>
      </c>
      <c r="D708" s="5" t="s">
        <v>28</v>
      </c>
      <c r="E708" s="7" t="n">
        <v>5498</v>
      </c>
      <c r="F708" s="7" t="n">
        <v>3829</v>
      </c>
      <c r="G708" s="7" t="n">
        <v>145</v>
      </c>
      <c r="H708" s="7" t="n">
        <v>22</v>
      </c>
      <c r="I708" s="7" t="n">
        <v>48</v>
      </c>
      <c r="J708" s="8" t="n">
        <v>5.62</v>
      </c>
      <c r="K708" s="9" t="n">
        <f aca="false">(G708+H708+I708)/E708</f>
        <v>0.0391051291378683</v>
      </c>
    </row>
    <row r="709" customFormat="false" ht="14.25" hidden="false" customHeight="true" outlineLevel="0" collapsed="false">
      <c r="A709" s="5" t="s">
        <v>733</v>
      </c>
      <c r="B709" s="5" t="s">
        <v>18</v>
      </c>
      <c r="C709" s="6" t="n">
        <v>45775</v>
      </c>
      <c r="D709" s="5" t="s">
        <v>23</v>
      </c>
      <c r="E709" s="7" t="n">
        <v>97696</v>
      </c>
      <c r="F709" s="7" t="n">
        <v>44346</v>
      </c>
      <c r="G709" s="7" t="n">
        <v>2344</v>
      </c>
      <c r="H709" s="7" t="n">
        <v>517</v>
      </c>
      <c r="I709" s="7" t="n">
        <v>88</v>
      </c>
      <c r="J709" s="8" t="n">
        <v>6.65</v>
      </c>
      <c r="K709" s="9" t="n">
        <f aca="false">(G709+H709+I709)/E709</f>
        <v>0.030185473304946</v>
      </c>
    </row>
    <row r="710" customFormat="false" ht="14.25" hidden="false" customHeight="true" outlineLevel="0" collapsed="false">
      <c r="A710" s="5" t="s">
        <v>734</v>
      </c>
      <c r="B710" s="5" t="s">
        <v>22</v>
      </c>
      <c r="C710" s="6" t="n">
        <v>45571</v>
      </c>
      <c r="D710" s="5" t="s">
        <v>19</v>
      </c>
      <c r="E710" s="7" t="n">
        <v>20572</v>
      </c>
      <c r="F710" s="7" t="n">
        <v>17868</v>
      </c>
      <c r="G710" s="7" t="n">
        <v>147</v>
      </c>
      <c r="H710" s="7" t="n">
        <v>129</v>
      </c>
      <c r="I710" s="7" t="n">
        <v>295</v>
      </c>
      <c r="J710" s="8" t="n">
        <v>3.2</v>
      </c>
      <c r="K710" s="9" t="n">
        <f aca="false">(G710+H710+I710)/E710</f>
        <v>0.0277561734396267</v>
      </c>
    </row>
    <row r="711" customFormat="false" ht="14.25" hidden="false" customHeight="true" outlineLevel="0" collapsed="false">
      <c r="A711" s="5" t="s">
        <v>735</v>
      </c>
      <c r="B711" s="5" t="s">
        <v>14</v>
      </c>
      <c r="C711" s="6" t="n">
        <v>45571</v>
      </c>
      <c r="D711" s="5" t="s">
        <v>15</v>
      </c>
      <c r="E711" s="7" t="n">
        <v>28247</v>
      </c>
      <c r="F711" s="7" t="n">
        <v>11746</v>
      </c>
      <c r="G711" s="7" t="n">
        <v>274</v>
      </c>
      <c r="H711" s="7" t="n">
        <v>156</v>
      </c>
      <c r="I711" s="7" t="n">
        <v>145</v>
      </c>
      <c r="J711" s="8" t="n">
        <v>4.9</v>
      </c>
      <c r="K711" s="9" t="n">
        <f aca="false">(G711+H711+I711)/E711</f>
        <v>0.0203561440152937</v>
      </c>
    </row>
    <row r="712" customFormat="false" ht="14.25" hidden="false" customHeight="true" outlineLevel="0" collapsed="false">
      <c r="A712" s="5" t="s">
        <v>736</v>
      </c>
      <c r="B712" s="5" t="s">
        <v>18</v>
      </c>
      <c r="C712" s="6" t="n">
        <v>45672</v>
      </c>
      <c r="D712" s="5" t="s">
        <v>28</v>
      </c>
      <c r="E712" s="7" t="n">
        <v>74167</v>
      </c>
      <c r="F712" s="7" t="n">
        <v>45400</v>
      </c>
      <c r="G712" s="7" t="n">
        <v>3147</v>
      </c>
      <c r="H712" s="7" t="n">
        <v>194</v>
      </c>
      <c r="I712" s="7" t="n">
        <v>135</v>
      </c>
      <c r="J712" s="8" t="n">
        <v>7.66</v>
      </c>
      <c r="K712" s="9" t="n">
        <f aca="false">(G712+H712+I712)/E712</f>
        <v>0.0468672050912131</v>
      </c>
    </row>
    <row r="713" customFormat="false" ht="14.25" hidden="false" customHeight="true" outlineLevel="0" collapsed="false">
      <c r="A713" s="5" t="s">
        <v>737</v>
      </c>
      <c r="B713" s="5" t="s">
        <v>22</v>
      </c>
      <c r="C713" s="6" t="n">
        <v>45697</v>
      </c>
      <c r="D713" s="5" t="s">
        <v>23</v>
      </c>
      <c r="E713" s="7" t="n">
        <v>36474</v>
      </c>
      <c r="F713" s="7" t="n">
        <v>26752</v>
      </c>
      <c r="G713" s="7" t="n">
        <v>699</v>
      </c>
      <c r="H713" s="7" t="n">
        <v>125</v>
      </c>
      <c r="I713" s="7" t="n">
        <v>100</v>
      </c>
      <c r="J713" s="8" t="n">
        <v>3.45</v>
      </c>
      <c r="K713" s="9" t="n">
        <f aca="false">(G713+H713+I713)/E713</f>
        <v>0.025333113999013</v>
      </c>
    </row>
    <row r="714" customFormat="false" ht="14.25" hidden="false" customHeight="true" outlineLevel="0" collapsed="false">
      <c r="A714" s="5" t="s">
        <v>738</v>
      </c>
      <c r="B714" s="5" t="s">
        <v>18</v>
      </c>
      <c r="C714" s="6" t="n">
        <v>45516</v>
      </c>
      <c r="D714" s="5" t="s">
        <v>28</v>
      </c>
      <c r="E714" s="7" t="n">
        <v>52019</v>
      </c>
      <c r="F714" s="7" t="n">
        <v>21663</v>
      </c>
      <c r="G714" s="7" t="n">
        <v>906</v>
      </c>
      <c r="H714" s="7" t="n">
        <v>211</v>
      </c>
      <c r="I714" s="7" t="n">
        <v>213</v>
      </c>
      <c r="J714" s="8" t="n">
        <v>6.14</v>
      </c>
      <c r="K714" s="9" t="n">
        <f aca="false">(G714+H714+I714)/E714</f>
        <v>0.0255675810761453</v>
      </c>
    </row>
    <row r="715" customFormat="false" ht="14.25" hidden="false" customHeight="true" outlineLevel="0" collapsed="false">
      <c r="A715" s="5" t="s">
        <v>739</v>
      </c>
      <c r="B715" s="5" t="s">
        <v>22</v>
      </c>
      <c r="C715" s="6" t="n">
        <v>46001</v>
      </c>
      <c r="D715" s="5" t="s">
        <v>19</v>
      </c>
      <c r="E715" s="7" t="n">
        <v>13851</v>
      </c>
      <c r="F715" s="7" t="n">
        <v>10753</v>
      </c>
      <c r="G715" s="7" t="n">
        <v>90</v>
      </c>
      <c r="H715" s="7" t="n">
        <v>13</v>
      </c>
      <c r="I715" s="7" t="n">
        <v>43</v>
      </c>
      <c r="J715" s="8" t="n">
        <v>1.36</v>
      </c>
      <c r="K715" s="9" t="n">
        <f aca="false">(G715+H715+I715)/E715</f>
        <v>0.0105407551801314</v>
      </c>
    </row>
    <row r="716" customFormat="false" ht="14.25" hidden="false" customHeight="true" outlineLevel="0" collapsed="false">
      <c r="A716" s="5" t="s">
        <v>740</v>
      </c>
      <c r="B716" s="5" t="s">
        <v>33</v>
      </c>
      <c r="C716" s="6" t="n">
        <v>45315</v>
      </c>
      <c r="D716" s="5" t="s">
        <v>23</v>
      </c>
      <c r="E716" s="7" t="n">
        <v>4210</v>
      </c>
      <c r="F716" s="7" t="n">
        <v>2327</v>
      </c>
      <c r="G716" s="7" t="n">
        <v>62</v>
      </c>
      <c r="H716" s="7" t="n">
        <v>55</v>
      </c>
      <c r="I716" s="7" t="n">
        <v>17</v>
      </c>
      <c r="J716" s="8" t="n">
        <v>5.76</v>
      </c>
      <c r="K716" s="9" t="n">
        <f aca="false">(G716+H716+I716)/E716</f>
        <v>0.0318289786223278</v>
      </c>
    </row>
    <row r="717" customFormat="false" ht="14.25" hidden="false" customHeight="true" outlineLevel="0" collapsed="false">
      <c r="A717" s="5" t="s">
        <v>741</v>
      </c>
      <c r="B717" s="5" t="s">
        <v>22</v>
      </c>
      <c r="C717" s="6" t="n">
        <v>45638</v>
      </c>
      <c r="D717" s="5" t="s">
        <v>15</v>
      </c>
      <c r="E717" s="7" t="n">
        <v>8714</v>
      </c>
      <c r="F717" s="7" t="n">
        <v>7818</v>
      </c>
      <c r="G717" s="7" t="n">
        <v>194</v>
      </c>
      <c r="H717" s="7" t="n">
        <v>8</v>
      </c>
      <c r="I717" s="7" t="n">
        <v>76</v>
      </c>
      <c r="J717" s="8" t="n">
        <v>3.56</v>
      </c>
      <c r="K717" s="9" t="n">
        <f aca="false">(G717+H717+I717)/E717</f>
        <v>0.0319026853339454</v>
      </c>
    </row>
    <row r="718" customFormat="false" ht="14.25" hidden="false" customHeight="true" outlineLevel="0" collapsed="false">
      <c r="A718" s="5" t="s">
        <v>742</v>
      </c>
      <c r="B718" s="5" t="s">
        <v>33</v>
      </c>
      <c r="C718" s="6" t="n">
        <v>45554</v>
      </c>
      <c r="D718" s="5" t="s">
        <v>23</v>
      </c>
      <c r="E718" s="7" t="n">
        <v>18489</v>
      </c>
      <c r="F718" s="7" t="n">
        <v>11208</v>
      </c>
      <c r="G718" s="7" t="n">
        <v>519</v>
      </c>
      <c r="H718" s="7" t="n">
        <v>262</v>
      </c>
      <c r="I718" s="7" t="n">
        <v>156</v>
      </c>
      <c r="J718" s="8" t="n">
        <v>8.36</v>
      </c>
      <c r="K718" s="9" t="n">
        <f aca="false">(G718+H718+I718)/E718</f>
        <v>0.0506787819784737</v>
      </c>
    </row>
    <row r="719" customFormat="false" ht="14.25" hidden="false" customHeight="true" outlineLevel="0" collapsed="false">
      <c r="A719" s="5" t="s">
        <v>743</v>
      </c>
      <c r="B719" s="5" t="s">
        <v>33</v>
      </c>
      <c r="C719" s="6" t="n">
        <v>45886</v>
      </c>
      <c r="D719" s="5" t="s">
        <v>15</v>
      </c>
      <c r="E719" s="7" t="n">
        <v>8150</v>
      </c>
      <c r="F719" s="7" t="n">
        <v>3795</v>
      </c>
      <c r="G719" s="7" t="n">
        <v>184</v>
      </c>
      <c r="H719" s="7" t="n">
        <v>86</v>
      </c>
      <c r="I719" s="7" t="n">
        <v>18</v>
      </c>
      <c r="J719" s="8" t="n">
        <v>7.59</v>
      </c>
      <c r="K719" s="9" t="n">
        <f aca="false">(G719+H719+I719)/E719</f>
        <v>0.0353374233128834</v>
      </c>
    </row>
    <row r="720" customFormat="false" ht="14.25" hidden="false" customHeight="true" outlineLevel="0" collapsed="false">
      <c r="A720" s="5" t="s">
        <v>744</v>
      </c>
      <c r="B720" s="5" t="s">
        <v>22</v>
      </c>
      <c r="C720" s="6" t="n">
        <v>45839</v>
      </c>
      <c r="D720" s="5" t="s">
        <v>23</v>
      </c>
      <c r="E720" s="7" t="n">
        <v>38223</v>
      </c>
      <c r="F720" s="7" t="n">
        <v>21921</v>
      </c>
      <c r="G720" s="7" t="n">
        <v>154</v>
      </c>
      <c r="H720" s="7" t="n">
        <v>148</v>
      </c>
      <c r="I720" s="7" t="n">
        <v>388</v>
      </c>
      <c r="J720" s="8" t="n">
        <v>3.15</v>
      </c>
      <c r="K720" s="9" t="n">
        <f aca="false">(G720+H720+I720)/E720</f>
        <v>0.0180519582450357</v>
      </c>
    </row>
    <row r="721" customFormat="false" ht="14.25" hidden="false" customHeight="true" outlineLevel="0" collapsed="false">
      <c r="A721" s="5" t="s">
        <v>745</v>
      </c>
      <c r="B721" s="5" t="s">
        <v>14</v>
      </c>
      <c r="C721" s="6" t="n">
        <v>45957</v>
      </c>
      <c r="D721" s="5" t="s">
        <v>28</v>
      </c>
      <c r="E721" s="7" t="n">
        <v>32977</v>
      </c>
      <c r="F721" s="7" t="n">
        <v>11560</v>
      </c>
      <c r="G721" s="7" t="n">
        <v>298</v>
      </c>
      <c r="H721" s="7" t="n">
        <v>98</v>
      </c>
      <c r="I721" s="7" t="n">
        <v>169</v>
      </c>
      <c r="J721" s="8" t="n">
        <v>4.89</v>
      </c>
      <c r="K721" s="9" t="n">
        <f aca="false">(G721+H721+I721)/E721</f>
        <v>0.0171331534099524</v>
      </c>
    </row>
    <row r="722" customFormat="false" ht="14.25" hidden="false" customHeight="true" outlineLevel="0" collapsed="false">
      <c r="A722" s="5" t="s">
        <v>746</v>
      </c>
      <c r="B722" s="5" t="s">
        <v>22</v>
      </c>
      <c r="C722" s="6" t="n">
        <v>45526</v>
      </c>
      <c r="D722" s="5" t="s">
        <v>23</v>
      </c>
      <c r="E722" s="7" t="n">
        <v>57675</v>
      </c>
      <c r="F722" s="7" t="n">
        <v>35760</v>
      </c>
      <c r="G722" s="7" t="n">
        <v>1050</v>
      </c>
      <c r="H722" s="7" t="n">
        <v>194</v>
      </c>
      <c r="I722" s="7" t="n">
        <v>445</v>
      </c>
      <c r="J722" s="8" t="n">
        <v>4.72</v>
      </c>
      <c r="K722" s="9" t="n">
        <f aca="false">(G722+H722+I722)/E722</f>
        <v>0.0292847854356307</v>
      </c>
    </row>
    <row r="723" customFormat="false" ht="14.25" hidden="false" customHeight="true" outlineLevel="0" collapsed="false">
      <c r="A723" s="5" t="s">
        <v>747</v>
      </c>
      <c r="B723" s="5" t="s">
        <v>18</v>
      </c>
      <c r="C723" s="6" t="n">
        <v>45668</v>
      </c>
      <c r="D723" s="5" t="s">
        <v>26</v>
      </c>
      <c r="E723" s="7" t="n">
        <v>87852</v>
      </c>
      <c r="F723" s="7" t="n">
        <v>38483</v>
      </c>
      <c r="G723" s="7" t="n">
        <v>1783</v>
      </c>
      <c r="H723" s="7" t="n">
        <v>380</v>
      </c>
      <c r="I723" s="7" t="n">
        <v>69</v>
      </c>
      <c r="J723" s="8" t="n">
        <v>5.8</v>
      </c>
      <c r="K723" s="9" t="n">
        <f aca="false">(G723+H723+I723)/E723</f>
        <v>0.0254063652506488</v>
      </c>
    </row>
    <row r="724" customFormat="false" ht="14.25" hidden="false" customHeight="true" outlineLevel="0" collapsed="false">
      <c r="A724" s="5" t="s">
        <v>748</v>
      </c>
      <c r="B724" s="5" t="s">
        <v>33</v>
      </c>
      <c r="C724" s="6" t="n">
        <v>45385</v>
      </c>
      <c r="D724" s="5" t="s">
        <v>28</v>
      </c>
      <c r="E724" s="7" t="n">
        <v>10551</v>
      </c>
      <c r="F724" s="7" t="n">
        <v>5565</v>
      </c>
      <c r="G724" s="7" t="n">
        <v>130</v>
      </c>
      <c r="H724" s="7" t="n">
        <v>65</v>
      </c>
      <c r="I724" s="7" t="n">
        <v>23</v>
      </c>
      <c r="J724" s="8" t="n">
        <v>3.92</v>
      </c>
      <c r="K724" s="9" t="n">
        <f aca="false">(G724+H724+I724)/E724</f>
        <v>0.0206615486683727</v>
      </c>
    </row>
    <row r="725" customFormat="false" ht="14.25" hidden="false" customHeight="true" outlineLevel="0" collapsed="false">
      <c r="A725" s="5" t="s">
        <v>749</v>
      </c>
      <c r="B725" s="5" t="s">
        <v>18</v>
      </c>
      <c r="C725" s="6" t="n">
        <v>45945</v>
      </c>
      <c r="D725" s="5" t="s">
        <v>19</v>
      </c>
      <c r="E725" s="7" t="n">
        <v>29314</v>
      </c>
      <c r="F725" s="7" t="n">
        <v>15386</v>
      </c>
      <c r="G725" s="7" t="n">
        <v>381</v>
      </c>
      <c r="H725" s="7" t="n">
        <v>69</v>
      </c>
      <c r="I725" s="7" t="n">
        <v>105</v>
      </c>
      <c r="J725" s="8" t="n">
        <v>3.61</v>
      </c>
      <c r="K725" s="9" t="n">
        <f aca="false">(G725+H725+I725)/E725</f>
        <v>0.0189329330695231</v>
      </c>
    </row>
    <row r="726" customFormat="false" ht="14.25" hidden="false" customHeight="true" outlineLevel="0" collapsed="false">
      <c r="A726" s="5" t="s">
        <v>750</v>
      </c>
      <c r="B726" s="5" t="s">
        <v>18</v>
      </c>
      <c r="C726" s="6" t="n">
        <v>45460</v>
      </c>
      <c r="D726" s="5" t="s">
        <v>23</v>
      </c>
      <c r="E726" s="7" t="n">
        <v>74816</v>
      </c>
      <c r="F726" s="7" t="n">
        <v>55347</v>
      </c>
      <c r="G726" s="7" t="n">
        <v>4283</v>
      </c>
      <c r="H726" s="7" t="n">
        <v>218</v>
      </c>
      <c r="I726" s="7" t="n">
        <v>519</v>
      </c>
      <c r="J726" s="8" t="n">
        <v>9.07</v>
      </c>
      <c r="K726" s="9" t="n">
        <f aca="false">(G726+H726+I726)/E726</f>
        <v>0.0670979469632164</v>
      </c>
    </row>
    <row r="727" customFormat="false" ht="14.25" hidden="false" customHeight="true" outlineLevel="0" collapsed="false">
      <c r="A727" s="5" t="s">
        <v>751</v>
      </c>
      <c r="B727" s="5" t="s">
        <v>18</v>
      </c>
      <c r="C727" s="6" t="n">
        <v>45958</v>
      </c>
      <c r="D727" s="5" t="s">
        <v>19</v>
      </c>
      <c r="E727" s="7" t="n">
        <v>18345</v>
      </c>
      <c r="F727" s="7" t="n">
        <v>13111</v>
      </c>
      <c r="G727" s="7" t="n">
        <v>923</v>
      </c>
      <c r="H727" s="7" t="n">
        <v>79</v>
      </c>
      <c r="I727" s="7" t="n">
        <v>17</v>
      </c>
      <c r="J727" s="8" t="n">
        <v>7.77</v>
      </c>
      <c r="K727" s="9" t="n">
        <f aca="false">(G727+H727+I727)/E727</f>
        <v>0.0555464704279095</v>
      </c>
    </row>
    <row r="728" customFormat="false" ht="14.25" hidden="false" customHeight="true" outlineLevel="0" collapsed="false">
      <c r="A728" s="5" t="s">
        <v>752</v>
      </c>
      <c r="B728" s="5" t="s">
        <v>25</v>
      </c>
      <c r="C728" s="6" t="n">
        <v>45628</v>
      </c>
      <c r="D728" s="5" t="s">
        <v>26</v>
      </c>
      <c r="E728" s="7" t="n">
        <v>84679</v>
      </c>
      <c r="F728" s="7" t="n">
        <v>56993</v>
      </c>
      <c r="G728" s="7" t="n">
        <v>3452</v>
      </c>
      <c r="H728" s="7" t="n">
        <v>763</v>
      </c>
      <c r="I728" s="7" t="n">
        <v>2444</v>
      </c>
      <c r="J728" s="8" t="n">
        <v>11.68</v>
      </c>
      <c r="K728" s="9" t="n">
        <f aca="false">(G728+H728+I728)/E728</f>
        <v>0.0786381511354645</v>
      </c>
    </row>
    <row r="729" customFormat="false" ht="14.25" hidden="false" customHeight="true" outlineLevel="0" collapsed="false">
      <c r="A729" s="5" t="s">
        <v>753</v>
      </c>
      <c r="B729" s="5" t="s">
        <v>18</v>
      </c>
      <c r="C729" s="6" t="n">
        <v>45876</v>
      </c>
      <c r="D729" s="5" t="s">
        <v>23</v>
      </c>
      <c r="E729" s="7" t="n">
        <v>29143</v>
      </c>
      <c r="F729" s="7" t="n">
        <v>15606</v>
      </c>
      <c r="G729" s="7" t="n">
        <v>1093</v>
      </c>
      <c r="H729" s="7" t="n">
        <v>150</v>
      </c>
      <c r="I729" s="7" t="n">
        <v>58</v>
      </c>
      <c r="J729" s="8" t="n">
        <v>8.34</v>
      </c>
      <c r="K729" s="9" t="n">
        <f aca="false">(G729+H729+I729)/E729</f>
        <v>0.0446419380297155</v>
      </c>
    </row>
    <row r="730" customFormat="false" ht="14.25" hidden="false" customHeight="true" outlineLevel="0" collapsed="false">
      <c r="A730" s="5" t="s">
        <v>754</v>
      </c>
      <c r="B730" s="5" t="s">
        <v>14</v>
      </c>
      <c r="C730" s="6" t="n">
        <v>45345</v>
      </c>
      <c r="D730" s="5" t="s">
        <v>23</v>
      </c>
      <c r="E730" s="7" t="n">
        <v>45375</v>
      </c>
      <c r="F730" s="7" t="n">
        <v>28348</v>
      </c>
      <c r="G730" s="7" t="n">
        <v>982</v>
      </c>
      <c r="H730" s="7" t="n">
        <v>138</v>
      </c>
      <c r="I730" s="7" t="n">
        <v>474</v>
      </c>
      <c r="J730" s="8" t="n">
        <v>5.62</v>
      </c>
      <c r="K730" s="9" t="n">
        <f aca="false">(G730+H730+I730)/E730</f>
        <v>0.035129476584022</v>
      </c>
    </row>
    <row r="731" customFormat="false" ht="14.25" hidden="false" customHeight="true" outlineLevel="0" collapsed="false">
      <c r="A731" s="5" t="s">
        <v>755</v>
      </c>
      <c r="B731" s="5" t="s">
        <v>22</v>
      </c>
      <c r="C731" s="6" t="n">
        <v>45293</v>
      </c>
      <c r="D731" s="5" t="s">
        <v>19</v>
      </c>
      <c r="E731" s="7" t="n">
        <v>13665</v>
      </c>
      <c r="F731" s="7" t="n">
        <v>9857</v>
      </c>
      <c r="G731" s="7" t="n">
        <v>103</v>
      </c>
      <c r="H731" s="7" t="n">
        <v>61</v>
      </c>
      <c r="I731" s="7" t="n">
        <v>141</v>
      </c>
      <c r="J731" s="8" t="n">
        <v>3.09</v>
      </c>
      <c r="K731" s="9" t="n">
        <f aca="false">(G731+H731+I731)/E731</f>
        <v>0.022319795096963</v>
      </c>
    </row>
    <row r="732" customFormat="false" ht="14.25" hidden="false" customHeight="true" outlineLevel="0" collapsed="false">
      <c r="A732" s="5" t="s">
        <v>756</v>
      </c>
      <c r="B732" s="5" t="s">
        <v>25</v>
      </c>
      <c r="C732" s="6" t="n">
        <v>45332</v>
      </c>
      <c r="D732" s="5" t="s">
        <v>23</v>
      </c>
      <c r="E732" s="7" t="n">
        <v>354002</v>
      </c>
      <c r="F732" s="7" t="n">
        <v>187195</v>
      </c>
      <c r="G732" s="7" t="n">
        <v>14646</v>
      </c>
      <c r="H732" s="7" t="n">
        <v>2605</v>
      </c>
      <c r="I732" s="7" t="n">
        <v>2589</v>
      </c>
      <c r="J732" s="8" t="n">
        <v>10.6</v>
      </c>
      <c r="K732" s="9" t="n">
        <f aca="false">(G732+H732+I732)/E732</f>
        <v>0.0560448811023667</v>
      </c>
    </row>
    <row r="733" customFormat="false" ht="14.25" hidden="false" customHeight="true" outlineLevel="0" collapsed="false">
      <c r="A733" s="5" t="s">
        <v>757</v>
      </c>
      <c r="B733" s="5" t="s">
        <v>25</v>
      </c>
      <c r="C733" s="6" t="n">
        <v>45518</v>
      </c>
      <c r="D733" s="5" t="s">
        <v>26</v>
      </c>
      <c r="E733" s="7" t="n">
        <v>500863</v>
      </c>
      <c r="F733" s="7" t="n">
        <v>228827</v>
      </c>
      <c r="G733" s="7" t="n">
        <v>7070</v>
      </c>
      <c r="H733" s="7" t="n">
        <v>3230</v>
      </c>
      <c r="I733" s="7" t="n">
        <v>10832</v>
      </c>
      <c r="J733" s="8" t="n">
        <v>9.23</v>
      </c>
      <c r="K733" s="9" t="n">
        <f aca="false">(G733+H733+I733)/E733</f>
        <v>0.0421911780267259</v>
      </c>
    </row>
    <row r="734" customFormat="false" ht="14.25" hidden="false" customHeight="true" outlineLevel="0" collapsed="false">
      <c r="A734" s="5" t="s">
        <v>758</v>
      </c>
      <c r="B734" s="5" t="s">
        <v>22</v>
      </c>
      <c r="C734" s="6" t="n">
        <v>45854</v>
      </c>
      <c r="D734" s="5" t="s">
        <v>19</v>
      </c>
      <c r="E734" s="7" t="n">
        <v>23524</v>
      </c>
      <c r="F734" s="7" t="n">
        <v>15820</v>
      </c>
      <c r="G734" s="7" t="n">
        <v>267</v>
      </c>
      <c r="H734" s="7" t="n">
        <v>125</v>
      </c>
      <c r="I734" s="7" t="n">
        <v>203</v>
      </c>
      <c r="J734" s="8" t="n">
        <v>3.76</v>
      </c>
      <c r="K734" s="9" t="n">
        <f aca="false">(G734+H734+I734)/E734</f>
        <v>0.0252933174630165</v>
      </c>
    </row>
    <row r="735" customFormat="false" ht="14.25" hidden="false" customHeight="true" outlineLevel="0" collapsed="false">
      <c r="A735" s="5" t="s">
        <v>759</v>
      </c>
      <c r="B735" s="5" t="s">
        <v>25</v>
      </c>
      <c r="C735" s="6" t="n">
        <v>45465</v>
      </c>
      <c r="D735" s="5" t="s">
        <v>26</v>
      </c>
      <c r="E735" s="7" t="n">
        <v>379546</v>
      </c>
      <c r="F735" s="7" t="n">
        <v>244938</v>
      </c>
      <c r="G735" s="7" t="n">
        <v>17987</v>
      </c>
      <c r="H735" s="7" t="n">
        <v>4666</v>
      </c>
      <c r="I735" s="7" t="n">
        <v>9574</v>
      </c>
      <c r="J735" s="8" t="n">
        <v>13.16</v>
      </c>
      <c r="K735" s="9" t="n">
        <f aca="false">(G735+H735+I735)/E735</f>
        <v>0.0849093390524469</v>
      </c>
    </row>
    <row r="736" customFormat="false" ht="14.25" hidden="false" customHeight="true" outlineLevel="0" collapsed="false">
      <c r="A736" s="5" t="s">
        <v>760</v>
      </c>
      <c r="B736" s="5" t="s">
        <v>25</v>
      </c>
      <c r="C736" s="6" t="n">
        <v>45532</v>
      </c>
      <c r="D736" s="5" t="s">
        <v>23</v>
      </c>
      <c r="E736" s="7" t="n">
        <v>175978</v>
      </c>
      <c r="F736" s="7" t="n">
        <v>102798</v>
      </c>
      <c r="G736" s="7" t="n">
        <v>7603</v>
      </c>
      <c r="H736" s="7" t="n">
        <v>735</v>
      </c>
      <c r="I736" s="7" t="n">
        <v>2192</v>
      </c>
      <c r="J736" s="8" t="n">
        <v>10.24</v>
      </c>
      <c r="K736" s="9" t="n">
        <f aca="false">(G736+H736+I736)/E736</f>
        <v>0.0598370250826808</v>
      </c>
    </row>
    <row r="737" customFormat="false" ht="14.25" hidden="false" customHeight="true" outlineLevel="0" collapsed="false">
      <c r="A737" s="5" t="s">
        <v>761</v>
      </c>
      <c r="B737" s="5" t="s">
        <v>33</v>
      </c>
      <c r="C737" s="6" t="n">
        <v>45343</v>
      </c>
      <c r="D737" s="5" t="s">
        <v>28</v>
      </c>
      <c r="E737" s="7" t="n">
        <v>17851</v>
      </c>
      <c r="F737" s="7" t="n">
        <v>10653</v>
      </c>
      <c r="G737" s="7" t="n">
        <v>613</v>
      </c>
      <c r="H737" s="7" t="n">
        <v>83</v>
      </c>
      <c r="I737" s="7" t="n">
        <v>51</v>
      </c>
      <c r="J737" s="8" t="n">
        <v>7.01</v>
      </c>
      <c r="K737" s="9" t="n">
        <f aca="false">(G737+H737+I737)/E737</f>
        <v>0.041846395159935</v>
      </c>
    </row>
    <row r="738" customFormat="false" ht="14.25" hidden="false" customHeight="true" outlineLevel="0" collapsed="false">
      <c r="A738" s="5" t="s">
        <v>762</v>
      </c>
      <c r="B738" s="5" t="s">
        <v>14</v>
      </c>
      <c r="C738" s="6" t="n">
        <v>45622</v>
      </c>
      <c r="D738" s="5" t="s">
        <v>15</v>
      </c>
      <c r="E738" s="7" t="n">
        <v>3182</v>
      </c>
      <c r="F738" s="7" t="n">
        <v>1939</v>
      </c>
      <c r="G738" s="7" t="n">
        <v>95</v>
      </c>
      <c r="H738" s="7" t="n">
        <v>13</v>
      </c>
      <c r="I738" s="7" t="n">
        <v>55</v>
      </c>
      <c r="J738" s="8" t="n">
        <v>8.41</v>
      </c>
      <c r="K738" s="9" t="n">
        <f aca="false">(G738+H738+I738)/E738</f>
        <v>0.0512256442489001</v>
      </c>
    </row>
    <row r="739" customFormat="false" ht="14.25" hidden="false" customHeight="true" outlineLevel="0" collapsed="false">
      <c r="A739" s="5" t="s">
        <v>763</v>
      </c>
      <c r="B739" s="5" t="s">
        <v>18</v>
      </c>
      <c r="C739" s="6" t="n">
        <v>45477</v>
      </c>
      <c r="D739" s="5" t="s">
        <v>28</v>
      </c>
      <c r="E739" s="7" t="n">
        <v>44248</v>
      </c>
      <c r="F739" s="7" t="n">
        <v>21842</v>
      </c>
      <c r="G739" s="7" t="n">
        <v>1232</v>
      </c>
      <c r="H739" s="7" t="n">
        <v>170</v>
      </c>
      <c r="I739" s="7" t="n">
        <v>37</v>
      </c>
      <c r="J739" s="8" t="n">
        <v>6.59</v>
      </c>
      <c r="K739" s="9" t="n">
        <f aca="false">(G739+H739+I739)/E739</f>
        <v>0.0325212438980293</v>
      </c>
    </row>
    <row r="740" customFormat="false" ht="14.25" hidden="false" customHeight="true" outlineLevel="0" collapsed="false">
      <c r="A740" s="5" t="s">
        <v>764</v>
      </c>
      <c r="B740" s="5" t="s">
        <v>14</v>
      </c>
      <c r="C740" s="6" t="n">
        <v>45652</v>
      </c>
      <c r="D740" s="5" t="s">
        <v>28</v>
      </c>
      <c r="E740" s="7" t="n">
        <v>45960</v>
      </c>
      <c r="F740" s="7" t="n">
        <v>27219</v>
      </c>
      <c r="G740" s="7" t="n">
        <v>568</v>
      </c>
      <c r="H740" s="7" t="n">
        <v>157</v>
      </c>
      <c r="I740" s="7" t="n">
        <v>161</v>
      </c>
      <c r="J740" s="8" t="n">
        <v>3.26</v>
      </c>
      <c r="K740" s="9" t="n">
        <f aca="false">(G740+H740+I740)/E740</f>
        <v>0.0192776327241079</v>
      </c>
    </row>
    <row r="741" customFormat="false" ht="14.25" hidden="false" customHeight="true" outlineLevel="0" collapsed="false">
      <c r="A741" s="5" t="s">
        <v>765</v>
      </c>
      <c r="B741" s="5" t="s">
        <v>18</v>
      </c>
      <c r="C741" s="6" t="n">
        <v>45344</v>
      </c>
      <c r="D741" s="5" t="s">
        <v>23</v>
      </c>
      <c r="E741" s="7" t="n">
        <v>63176</v>
      </c>
      <c r="F741" s="7" t="n">
        <v>32514</v>
      </c>
      <c r="G741" s="7" t="n">
        <v>1668</v>
      </c>
      <c r="H741" s="7" t="n">
        <v>177</v>
      </c>
      <c r="I741" s="7" t="n">
        <v>185</v>
      </c>
      <c r="J741" s="8" t="n">
        <v>6.24</v>
      </c>
      <c r="K741" s="9" t="n">
        <f aca="false">(G741+H741+I741)/E741</f>
        <v>0.032132455362796</v>
      </c>
    </row>
    <row r="742" customFormat="false" ht="14.25" hidden="false" customHeight="true" outlineLevel="0" collapsed="false">
      <c r="A742" s="5" t="s">
        <v>766</v>
      </c>
      <c r="B742" s="5" t="s">
        <v>18</v>
      </c>
      <c r="C742" s="6" t="n">
        <v>45671</v>
      </c>
      <c r="D742" s="5" t="s">
        <v>26</v>
      </c>
      <c r="E742" s="7" t="n">
        <v>8474</v>
      </c>
      <c r="F742" s="7" t="n">
        <v>4884</v>
      </c>
      <c r="G742" s="7" t="n">
        <v>252</v>
      </c>
      <c r="H742" s="7" t="n">
        <v>27</v>
      </c>
      <c r="I742" s="7" t="n">
        <v>16</v>
      </c>
      <c r="J742" s="8" t="n">
        <v>6.04</v>
      </c>
      <c r="K742" s="9" t="n">
        <f aca="false">(G742+H742+I742)/E742</f>
        <v>0.0348123672409724</v>
      </c>
    </row>
    <row r="743" customFormat="false" ht="14.25" hidden="false" customHeight="true" outlineLevel="0" collapsed="false">
      <c r="A743" s="5" t="s">
        <v>767</v>
      </c>
      <c r="B743" s="5" t="s">
        <v>22</v>
      </c>
      <c r="C743" s="6" t="n">
        <v>45627</v>
      </c>
      <c r="D743" s="5" t="s">
        <v>15</v>
      </c>
      <c r="E743" s="7" t="n">
        <v>24643</v>
      </c>
      <c r="F743" s="7" t="n">
        <v>12830</v>
      </c>
      <c r="G743" s="7" t="n">
        <v>151</v>
      </c>
      <c r="H743" s="7" t="n">
        <v>43</v>
      </c>
      <c r="I743" s="7" t="n">
        <v>101</v>
      </c>
      <c r="J743" s="8" t="n">
        <v>2.3</v>
      </c>
      <c r="K743" s="9" t="n">
        <f aca="false">(G743+H743+I743)/E743</f>
        <v>0.0119709450959705</v>
      </c>
    </row>
    <row r="744" customFormat="false" ht="14.25" hidden="false" customHeight="true" outlineLevel="0" collapsed="false">
      <c r="A744" s="5" t="s">
        <v>768</v>
      </c>
      <c r="B744" s="5" t="s">
        <v>22</v>
      </c>
      <c r="C744" s="6" t="n">
        <v>45398</v>
      </c>
      <c r="D744" s="5" t="s">
        <v>19</v>
      </c>
      <c r="E744" s="7" t="n">
        <v>18893</v>
      </c>
      <c r="F744" s="7" t="n">
        <v>11508</v>
      </c>
      <c r="G744" s="7" t="n">
        <v>103</v>
      </c>
      <c r="H744" s="7" t="n">
        <v>30</v>
      </c>
      <c r="I744" s="7" t="n">
        <v>23</v>
      </c>
      <c r="J744" s="8" t="n">
        <v>1.36</v>
      </c>
      <c r="K744" s="9" t="n">
        <f aca="false">(G744+H744+I744)/E744</f>
        <v>0.00825702641189859</v>
      </c>
    </row>
    <row r="745" customFormat="false" ht="14.25" hidden="false" customHeight="true" outlineLevel="0" collapsed="false">
      <c r="A745" s="5" t="s">
        <v>769</v>
      </c>
      <c r="B745" s="5" t="s">
        <v>22</v>
      </c>
      <c r="C745" s="6" t="n">
        <v>45344</v>
      </c>
      <c r="D745" s="5" t="s">
        <v>19</v>
      </c>
      <c r="E745" s="7" t="n">
        <v>16687</v>
      </c>
      <c r="F745" s="7" t="n">
        <v>8832</v>
      </c>
      <c r="G745" s="7" t="n">
        <v>149</v>
      </c>
      <c r="H745" s="7" t="n">
        <v>10</v>
      </c>
      <c r="I745" s="7" t="n">
        <v>166</v>
      </c>
      <c r="J745" s="8" t="n">
        <v>3.68</v>
      </c>
      <c r="K745" s="9" t="n">
        <f aca="false">(G745+H745+I745)/E745</f>
        <v>0.0194762389884341</v>
      </c>
    </row>
    <row r="746" customFormat="false" ht="14.25" hidden="false" customHeight="true" outlineLevel="0" collapsed="false">
      <c r="A746" s="5" t="s">
        <v>770</v>
      </c>
      <c r="B746" s="5" t="s">
        <v>33</v>
      </c>
      <c r="C746" s="6" t="n">
        <v>45677</v>
      </c>
      <c r="D746" s="5" t="s">
        <v>19</v>
      </c>
      <c r="E746" s="7" t="n">
        <v>6126</v>
      </c>
      <c r="F746" s="7" t="n">
        <v>2556</v>
      </c>
      <c r="G746" s="7" t="n">
        <v>101</v>
      </c>
      <c r="H746" s="7" t="n">
        <v>62</v>
      </c>
      <c r="I746" s="7" t="n">
        <v>12</v>
      </c>
      <c r="J746" s="8" t="n">
        <v>6.85</v>
      </c>
      <c r="K746" s="9" t="n">
        <f aca="false">(G746+H746+I746)/E746</f>
        <v>0.0285667646098596</v>
      </c>
    </row>
    <row r="747" customFormat="false" ht="14.25" hidden="false" customHeight="true" outlineLevel="0" collapsed="false">
      <c r="A747" s="5" t="s">
        <v>771</v>
      </c>
      <c r="B747" s="5" t="s">
        <v>25</v>
      </c>
      <c r="C747" s="6" t="n">
        <v>45453</v>
      </c>
      <c r="D747" s="5" t="s">
        <v>26</v>
      </c>
      <c r="E747" s="7" t="n">
        <v>153582</v>
      </c>
      <c r="F747" s="7" t="n">
        <v>61067</v>
      </c>
      <c r="G747" s="7" t="n">
        <v>2112</v>
      </c>
      <c r="H747" s="7" t="n">
        <v>1732</v>
      </c>
      <c r="I747" s="7" t="n">
        <v>1108</v>
      </c>
      <c r="J747" s="8" t="n">
        <v>8.11</v>
      </c>
      <c r="K747" s="9" t="n">
        <f aca="false">(G747+H747+I747)/E747</f>
        <v>0.0322433618523004</v>
      </c>
    </row>
    <row r="748" customFormat="false" ht="14.25" hidden="false" customHeight="true" outlineLevel="0" collapsed="false">
      <c r="A748" s="5" t="s">
        <v>772</v>
      </c>
      <c r="B748" s="5" t="s">
        <v>22</v>
      </c>
      <c r="C748" s="6" t="n">
        <v>45438</v>
      </c>
      <c r="D748" s="5" t="s">
        <v>23</v>
      </c>
      <c r="E748" s="7" t="n">
        <v>33166</v>
      </c>
      <c r="F748" s="7" t="n">
        <v>20671</v>
      </c>
      <c r="G748" s="7" t="n">
        <v>132</v>
      </c>
      <c r="H748" s="7" t="n">
        <v>105</v>
      </c>
      <c r="I748" s="7" t="n">
        <v>403</v>
      </c>
      <c r="J748" s="8" t="n">
        <v>3.1</v>
      </c>
      <c r="K748" s="9" t="n">
        <f aca="false">(G748+H748+I748)/E748</f>
        <v>0.01929687028885</v>
      </c>
    </row>
    <row r="749" customFormat="false" ht="14.25" hidden="false" customHeight="true" outlineLevel="0" collapsed="false">
      <c r="A749" s="5" t="s">
        <v>773</v>
      </c>
      <c r="B749" s="5" t="s">
        <v>14</v>
      </c>
      <c r="C749" s="6" t="n">
        <v>45912</v>
      </c>
      <c r="D749" s="5" t="s">
        <v>28</v>
      </c>
      <c r="E749" s="7" t="n">
        <v>958</v>
      </c>
      <c r="F749" s="7" t="n">
        <v>636</v>
      </c>
      <c r="G749" s="7" t="n">
        <v>29</v>
      </c>
      <c r="H749" s="7" t="n">
        <v>6</v>
      </c>
      <c r="I749" s="7" t="n">
        <v>17</v>
      </c>
      <c r="J749" s="8" t="n">
        <v>8.18</v>
      </c>
      <c r="K749" s="9" t="n">
        <f aca="false">(G749+H749+I749)/E749</f>
        <v>0.0542797494780793</v>
      </c>
    </row>
    <row r="750" customFormat="false" ht="14.25" hidden="false" customHeight="true" outlineLevel="0" collapsed="false">
      <c r="A750" s="5" t="s">
        <v>774</v>
      </c>
      <c r="B750" s="5" t="s">
        <v>18</v>
      </c>
      <c r="C750" s="6" t="n">
        <v>45630</v>
      </c>
      <c r="D750" s="5" t="s">
        <v>23</v>
      </c>
      <c r="E750" s="7" t="n">
        <v>113024</v>
      </c>
      <c r="F750" s="7" t="n">
        <v>63107</v>
      </c>
      <c r="G750" s="7" t="n">
        <v>3534</v>
      </c>
      <c r="H750" s="7" t="n">
        <v>773</v>
      </c>
      <c r="I750" s="7" t="n">
        <v>454</v>
      </c>
      <c r="J750" s="8" t="n">
        <v>7.54</v>
      </c>
      <c r="K750" s="9" t="n">
        <f aca="false">(G750+H750+I750)/E750</f>
        <v>0.0421237967157418</v>
      </c>
    </row>
    <row r="751" customFormat="false" ht="14.25" hidden="false" customHeight="true" outlineLevel="0" collapsed="false">
      <c r="A751" s="5" t="s">
        <v>775</v>
      </c>
      <c r="B751" s="5" t="s">
        <v>14</v>
      </c>
      <c r="C751" s="6" t="n">
        <v>45561</v>
      </c>
      <c r="D751" s="5" t="s">
        <v>15</v>
      </c>
      <c r="E751" s="7" t="n">
        <v>21214</v>
      </c>
      <c r="F751" s="7" t="n">
        <v>10351</v>
      </c>
      <c r="G751" s="7" t="n">
        <v>479</v>
      </c>
      <c r="H751" s="7" t="n">
        <v>54</v>
      </c>
      <c r="I751" s="7" t="n">
        <v>195</v>
      </c>
      <c r="J751" s="8" t="n">
        <v>7.03</v>
      </c>
      <c r="K751" s="9" t="n">
        <f aca="false">(G751+H751+I751)/E751</f>
        <v>0.0343169604977845</v>
      </c>
    </row>
    <row r="752" customFormat="false" ht="14.25" hidden="false" customHeight="true" outlineLevel="0" collapsed="false">
      <c r="A752" s="5" t="s">
        <v>776</v>
      </c>
      <c r="B752" s="5" t="s">
        <v>14</v>
      </c>
      <c r="C752" s="6" t="n">
        <v>45690</v>
      </c>
      <c r="D752" s="5" t="s">
        <v>15</v>
      </c>
      <c r="E752" s="7" t="n">
        <v>18110</v>
      </c>
      <c r="F752" s="7" t="n">
        <v>6550</v>
      </c>
      <c r="G752" s="7" t="n">
        <v>231</v>
      </c>
      <c r="H752" s="7" t="n">
        <v>98</v>
      </c>
      <c r="I752" s="7" t="n">
        <v>81</v>
      </c>
      <c r="J752" s="8" t="n">
        <v>6.26</v>
      </c>
      <c r="K752" s="9" t="n">
        <f aca="false">(G752+H752+I752)/E752</f>
        <v>0.02263942573164</v>
      </c>
    </row>
    <row r="753" customFormat="false" ht="14.25" hidden="false" customHeight="true" outlineLevel="0" collapsed="false">
      <c r="A753" s="5" t="s">
        <v>777</v>
      </c>
      <c r="B753" s="5" t="s">
        <v>25</v>
      </c>
      <c r="C753" s="6" t="n">
        <v>45371</v>
      </c>
      <c r="D753" s="5" t="s">
        <v>26</v>
      </c>
      <c r="E753" s="7" t="n">
        <v>427491</v>
      </c>
      <c r="F753" s="7" t="n">
        <v>269084</v>
      </c>
      <c r="G753" s="7" t="n">
        <v>23475</v>
      </c>
      <c r="H753" s="7" t="n">
        <v>6850</v>
      </c>
      <c r="I753" s="7" t="n">
        <v>5392</v>
      </c>
      <c r="J753" s="8" t="n">
        <v>13.27</v>
      </c>
      <c r="K753" s="9" t="n">
        <f aca="false">(G753+H753+I753)/E753</f>
        <v>0.0835502969653162</v>
      </c>
    </row>
    <row r="754" customFormat="false" ht="14.25" hidden="false" customHeight="true" outlineLevel="0" collapsed="false">
      <c r="A754" s="5" t="s">
        <v>778</v>
      </c>
      <c r="B754" s="5" t="s">
        <v>18</v>
      </c>
      <c r="C754" s="6" t="n">
        <v>45614</v>
      </c>
      <c r="D754" s="5" t="s">
        <v>26</v>
      </c>
      <c r="E754" s="7" t="n">
        <v>117459</v>
      </c>
      <c r="F754" s="7" t="n">
        <v>81926</v>
      </c>
      <c r="G754" s="7" t="n">
        <v>2922</v>
      </c>
      <c r="H754" s="7" t="n">
        <v>469</v>
      </c>
      <c r="I754" s="7" t="n">
        <v>298</v>
      </c>
      <c r="J754" s="8" t="n">
        <v>4.5</v>
      </c>
      <c r="K754" s="9" t="n">
        <f aca="false">(G754+H754+I754)/E754</f>
        <v>0.0314067036157297</v>
      </c>
    </row>
    <row r="755" customFormat="false" ht="14.25" hidden="false" customHeight="true" outlineLevel="0" collapsed="false">
      <c r="A755" s="5" t="s">
        <v>779</v>
      </c>
      <c r="B755" s="5" t="s">
        <v>14</v>
      </c>
      <c r="C755" s="6" t="n">
        <v>45868</v>
      </c>
      <c r="D755" s="5" t="s">
        <v>28</v>
      </c>
      <c r="E755" s="7" t="n">
        <v>35097</v>
      </c>
      <c r="F755" s="7" t="n">
        <v>15528</v>
      </c>
      <c r="G755" s="7" t="n">
        <v>717</v>
      </c>
      <c r="H755" s="7" t="n">
        <v>169</v>
      </c>
      <c r="I755" s="7" t="n">
        <v>430</v>
      </c>
      <c r="J755" s="8" t="n">
        <v>8.48</v>
      </c>
      <c r="K755" s="9" t="n">
        <f aca="false">(G755+H755+I755)/E755</f>
        <v>0.0374960822862353</v>
      </c>
    </row>
    <row r="756" customFormat="false" ht="14.25" hidden="false" customHeight="true" outlineLevel="0" collapsed="false">
      <c r="A756" s="5" t="s">
        <v>780</v>
      </c>
      <c r="B756" s="5" t="s">
        <v>33</v>
      </c>
      <c r="C756" s="6" t="n">
        <v>45911</v>
      </c>
      <c r="D756" s="5" t="s">
        <v>28</v>
      </c>
      <c r="E756" s="7" t="n">
        <v>9224</v>
      </c>
      <c r="F756" s="7" t="n">
        <v>6185</v>
      </c>
      <c r="G756" s="7" t="n">
        <v>181</v>
      </c>
      <c r="H756" s="7" t="n">
        <v>39</v>
      </c>
      <c r="I756" s="7" t="n">
        <v>27</v>
      </c>
      <c r="J756" s="8" t="n">
        <v>3.99</v>
      </c>
      <c r="K756" s="9" t="n">
        <f aca="false">(G756+H756+I756)/E756</f>
        <v>0.0267779705117086</v>
      </c>
    </row>
    <row r="757" customFormat="false" ht="14.25" hidden="false" customHeight="true" outlineLevel="0" collapsed="false">
      <c r="A757" s="5" t="s">
        <v>781</v>
      </c>
      <c r="B757" s="5" t="s">
        <v>14</v>
      </c>
      <c r="C757" s="6" t="n">
        <v>45994</v>
      </c>
      <c r="D757" s="5" t="s">
        <v>19</v>
      </c>
      <c r="E757" s="7" t="n">
        <v>14807</v>
      </c>
      <c r="F757" s="7" t="n">
        <v>4641</v>
      </c>
      <c r="G757" s="7" t="n">
        <v>189</v>
      </c>
      <c r="H757" s="7" t="n">
        <v>83</v>
      </c>
      <c r="I757" s="7" t="n">
        <v>65</v>
      </c>
      <c r="J757" s="8" t="n">
        <v>7.26</v>
      </c>
      <c r="K757" s="9" t="n">
        <f aca="false">(G757+H757+I757)/E757</f>
        <v>0.0227595056392247</v>
      </c>
    </row>
    <row r="758" customFormat="false" ht="14.25" hidden="false" customHeight="true" outlineLevel="0" collapsed="false">
      <c r="A758" s="5" t="s">
        <v>782</v>
      </c>
      <c r="B758" s="5" t="s">
        <v>18</v>
      </c>
      <c r="C758" s="6" t="n">
        <v>45925</v>
      </c>
      <c r="D758" s="5" t="s">
        <v>28</v>
      </c>
      <c r="E758" s="7" t="n">
        <v>56534</v>
      </c>
      <c r="F758" s="7" t="n">
        <v>26667</v>
      </c>
      <c r="G758" s="7" t="n">
        <v>1823</v>
      </c>
      <c r="H758" s="7" t="n">
        <v>220</v>
      </c>
      <c r="I758" s="7" t="n">
        <v>84</v>
      </c>
      <c r="J758" s="8" t="n">
        <v>7.98</v>
      </c>
      <c r="K758" s="9" t="n">
        <f aca="false">(G758+H758+I758)/E758</f>
        <v>0.0376233770828174</v>
      </c>
    </row>
    <row r="759" customFormat="false" ht="14.25" hidden="false" customHeight="true" outlineLevel="0" collapsed="false">
      <c r="A759" s="5" t="s">
        <v>783</v>
      </c>
      <c r="B759" s="5" t="s">
        <v>18</v>
      </c>
      <c r="C759" s="6" t="n">
        <v>45520</v>
      </c>
      <c r="D759" s="5" t="s">
        <v>19</v>
      </c>
      <c r="E759" s="7" t="n">
        <v>34138</v>
      </c>
      <c r="F759" s="7" t="n">
        <v>22857</v>
      </c>
      <c r="G759" s="7" t="n">
        <v>1562</v>
      </c>
      <c r="H759" s="7" t="n">
        <v>277</v>
      </c>
      <c r="I759" s="7" t="n">
        <v>160</v>
      </c>
      <c r="J759" s="8" t="n">
        <v>8.75</v>
      </c>
      <c r="K759" s="9" t="n">
        <f aca="false">(G759+H759+I759)/E759</f>
        <v>0.0585564473607124</v>
      </c>
    </row>
    <row r="760" customFormat="false" ht="14.25" hidden="false" customHeight="true" outlineLevel="0" collapsed="false">
      <c r="A760" s="5" t="s">
        <v>784</v>
      </c>
      <c r="B760" s="5" t="s">
        <v>14</v>
      </c>
      <c r="C760" s="6" t="n">
        <v>45868</v>
      </c>
      <c r="D760" s="5" t="s">
        <v>19</v>
      </c>
      <c r="E760" s="7" t="n">
        <v>13034</v>
      </c>
      <c r="F760" s="7" t="n">
        <v>6610</v>
      </c>
      <c r="G760" s="7" t="n">
        <v>129</v>
      </c>
      <c r="H760" s="7" t="n">
        <v>69</v>
      </c>
      <c r="I760" s="7" t="n">
        <v>57</v>
      </c>
      <c r="J760" s="8" t="n">
        <v>3.86</v>
      </c>
      <c r="K760" s="9" t="n">
        <f aca="false">(G760+H760+I760)/E760</f>
        <v>0.0195642166641093</v>
      </c>
    </row>
    <row r="761" customFormat="false" ht="14.25" hidden="false" customHeight="true" outlineLevel="0" collapsed="false">
      <c r="A761" s="5" t="s">
        <v>785</v>
      </c>
      <c r="B761" s="5" t="s">
        <v>33</v>
      </c>
      <c r="C761" s="6" t="n">
        <v>45459</v>
      </c>
      <c r="D761" s="5" t="s">
        <v>28</v>
      </c>
      <c r="E761" s="7" t="n">
        <v>16931</v>
      </c>
      <c r="F761" s="7" t="n">
        <v>10669</v>
      </c>
      <c r="G761" s="7" t="n">
        <v>552</v>
      </c>
      <c r="H761" s="7" t="n">
        <v>208</v>
      </c>
      <c r="I761" s="7" t="n">
        <v>63</v>
      </c>
      <c r="J761" s="8" t="n">
        <v>7.71</v>
      </c>
      <c r="K761" s="9" t="n">
        <f aca="false">(G761+H761+I761)/E761</f>
        <v>0.0486090603035851</v>
      </c>
    </row>
    <row r="762" customFormat="false" ht="14.25" hidden="false" customHeight="true" outlineLevel="0" collapsed="false">
      <c r="A762" s="5" t="s">
        <v>786</v>
      </c>
      <c r="B762" s="5" t="s">
        <v>25</v>
      </c>
      <c r="C762" s="6" t="n">
        <v>45693</v>
      </c>
      <c r="D762" s="5" t="s">
        <v>23</v>
      </c>
      <c r="E762" s="7" t="n">
        <v>470236</v>
      </c>
      <c r="F762" s="7" t="n">
        <v>181713</v>
      </c>
      <c r="G762" s="7" t="n">
        <v>14405</v>
      </c>
      <c r="H762" s="7" t="n">
        <v>1979</v>
      </c>
      <c r="I762" s="7" t="n">
        <v>3187</v>
      </c>
      <c r="J762" s="8" t="n">
        <v>10.77</v>
      </c>
      <c r="K762" s="9" t="n">
        <f aca="false">(G762+H762+I762)/E762</f>
        <v>0.0416195272161213</v>
      </c>
    </row>
    <row r="763" customFormat="false" ht="14.25" hidden="false" customHeight="true" outlineLevel="0" collapsed="false">
      <c r="A763" s="5" t="s">
        <v>787</v>
      </c>
      <c r="B763" s="5" t="s">
        <v>25</v>
      </c>
      <c r="C763" s="6" t="n">
        <v>45410</v>
      </c>
      <c r="D763" s="5" t="s">
        <v>26</v>
      </c>
      <c r="E763" s="7" t="n">
        <v>137714</v>
      </c>
      <c r="F763" s="7" t="n">
        <v>93775</v>
      </c>
      <c r="G763" s="7" t="n">
        <v>9583</v>
      </c>
      <c r="H763" s="7" t="n">
        <v>1045</v>
      </c>
      <c r="I763" s="7" t="n">
        <v>1334</v>
      </c>
      <c r="J763" s="8" t="n">
        <v>12.76</v>
      </c>
      <c r="K763" s="9" t="n">
        <f aca="false">(G763+H763+I763)/E763</f>
        <v>0.0868611760605312</v>
      </c>
    </row>
    <row r="764" customFormat="false" ht="14.25" hidden="false" customHeight="true" outlineLevel="0" collapsed="false">
      <c r="A764" s="5" t="s">
        <v>788</v>
      </c>
      <c r="B764" s="5" t="s">
        <v>14</v>
      </c>
      <c r="C764" s="6" t="n">
        <v>45939</v>
      </c>
      <c r="D764" s="5" t="s">
        <v>19</v>
      </c>
      <c r="E764" s="7" t="n">
        <v>6286</v>
      </c>
      <c r="F764" s="7" t="n">
        <v>4154</v>
      </c>
      <c r="G764" s="7" t="n">
        <v>141</v>
      </c>
      <c r="H764" s="7" t="n">
        <v>22</v>
      </c>
      <c r="I764" s="7" t="n">
        <v>72</v>
      </c>
      <c r="J764" s="8" t="n">
        <v>5.66</v>
      </c>
      <c r="K764" s="9" t="n">
        <f aca="false">(G764+H764+I764)/E764</f>
        <v>0.0373846643334394</v>
      </c>
    </row>
    <row r="765" customFormat="false" ht="14.25" hidden="false" customHeight="true" outlineLevel="0" collapsed="false">
      <c r="A765" s="5" t="s">
        <v>789</v>
      </c>
      <c r="B765" s="5" t="s">
        <v>22</v>
      </c>
      <c r="C765" s="6" t="n">
        <v>45699</v>
      </c>
      <c r="D765" s="5" t="s">
        <v>19</v>
      </c>
      <c r="E765" s="7" t="n">
        <v>17035</v>
      </c>
      <c r="F765" s="7" t="n">
        <v>13302</v>
      </c>
      <c r="G765" s="7" t="n">
        <v>143</v>
      </c>
      <c r="H765" s="7" t="n">
        <v>64</v>
      </c>
      <c r="I765" s="7" t="n">
        <v>31</v>
      </c>
      <c r="J765" s="8" t="n">
        <v>1.79</v>
      </c>
      <c r="K765" s="9" t="n">
        <f aca="false">(G765+H765+I765)/E765</f>
        <v>0.013971235691224</v>
      </c>
    </row>
    <row r="766" customFormat="false" ht="14.25" hidden="false" customHeight="true" outlineLevel="0" collapsed="false">
      <c r="A766" s="5" t="s">
        <v>790</v>
      </c>
      <c r="B766" s="5" t="s">
        <v>25</v>
      </c>
      <c r="C766" s="6" t="n">
        <v>45336</v>
      </c>
      <c r="D766" s="5" t="s">
        <v>23</v>
      </c>
      <c r="E766" s="7" t="n">
        <v>22629</v>
      </c>
      <c r="F766" s="7" t="n">
        <v>13973</v>
      </c>
      <c r="G766" s="7" t="n">
        <v>1169</v>
      </c>
      <c r="H766" s="7" t="n">
        <v>217</v>
      </c>
      <c r="I766" s="7" t="n">
        <v>656</v>
      </c>
      <c r="J766" s="8" t="n">
        <v>14.61</v>
      </c>
      <c r="K766" s="9" t="n">
        <f aca="false">(G766+H766+I766)/E766</f>
        <v>0.0902381899332715</v>
      </c>
    </row>
    <row r="767" customFormat="false" ht="14.25" hidden="false" customHeight="true" outlineLevel="0" collapsed="false">
      <c r="A767" s="5" t="s">
        <v>791</v>
      </c>
      <c r="B767" s="5" t="s">
        <v>14</v>
      </c>
      <c r="C767" s="6" t="n">
        <v>45825</v>
      </c>
      <c r="D767" s="5" t="s">
        <v>19</v>
      </c>
      <c r="E767" s="7" t="n">
        <v>10886</v>
      </c>
      <c r="F767" s="7" t="n">
        <v>5263</v>
      </c>
      <c r="G767" s="7" t="n">
        <v>168</v>
      </c>
      <c r="H767" s="7" t="n">
        <v>100</v>
      </c>
      <c r="I767" s="7" t="n">
        <v>72</v>
      </c>
      <c r="J767" s="8" t="n">
        <v>6.46</v>
      </c>
      <c r="K767" s="9" t="n">
        <f aca="false">(G767+H767+I767)/E767</f>
        <v>0.0312327760426236</v>
      </c>
    </row>
    <row r="768" customFormat="false" ht="14.25" hidden="false" customHeight="true" outlineLevel="0" collapsed="false">
      <c r="A768" s="5" t="s">
        <v>792</v>
      </c>
      <c r="B768" s="5" t="s">
        <v>18</v>
      </c>
      <c r="C768" s="6" t="n">
        <v>45918</v>
      </c>
      <c r="D768" s="5" t="s">
        <v>26</v>
      </c>
      <c r="E768" s="7" t="n">
        <v>16928</v>
      </c>
      <c r="F768" s="7" t="n">
        <v>9735</v>
      </c>
      <c r="G768" s="7" t="n">
        <v>518</v>
      </c>
      <c r="H768" s="7" t="n">
        <v>120</v>
      </c>
      <c r="I768" s="7" t="n">
        <v>90</v>
      </c>
      <c r="J768" s="8" t="n">
        <v>7.48</v>
      </c>
      <c r="K768" s="9" t="n">
        <f aca="false">(G768+H768+I768)/E768</f>
        <v>0.0430056710775047</v>
      </c>
    </row>
    <row r="769" customFormat="false" ht="14.25" hidden="false" customHeight="true" outlineLevel="0" collapsed="false">
      <c r="A769" s="5" t="s">
        <v>793</v>
      </c>
      <c r="B769" s="5" t="s">
        <v>14</v>
      </c>
      <c r="C769" s="6" t="n">
        <v>45980</v>
      </c>
      <c r="D769" s="5" t="s">
        <v>15</v>
      </c>
      <c r="E769" s="7" t="n">
        <v>7099</v>
      </c>
      <c r="F769" s="7" t="n">
        <v>3168</v>
      </c>
      <c r="G769" s="7" t="n">
        <v>118</v>
      </c>
      <c r="H769" s="7" t="n">
        <v>32</v>
      </c>
      <c r="I769" s="7" t="n">
        <v>91</v>
      </c>
      <c r="J769" s="8" t="n">
        <v>7.61</v>
      </c>
      <c r="K769" s="9" t="n">
        <f aca="false">(G769+H769+I769)/E769</f>
        <v>0.0339484434427384</v>
      </c>
    </row>
    <row r="770" customFormat="false" ht="14.25" hidden="false" customHeight="true" outlineLevel="0" collapsed="false">
      <c r="A770" s="5" t="s">
        <v>794</v>
      </c>
      <c r="B770" s="5" t="s">
        <v>22</v>
      </c>
      <c r="C770" s="6" t="n">
        <v>45466</v>
      </c>
      <c r="D770" s="5" t="s">
        <v>23</v>
      </c>
      <c r="E770" s="7" t="n">
        <v>36817</v>
      </c>
      <c r="F770" s="7" t="n">
        <v>28588</v>
      </c>
      <c r="G770" s="7" t="n">
        <v>585</v>
      </c>
      <c r="H770" s="7" t="n">
        <v>184</v>
      </c>
      <c r="I770" s="7" t="n">
        <v>234</v>
      </c>
      <c r="J770" s="8" t="n">
        <v>3.51</v>
      </c>
      <c r="K770" s="9" t="n">
        <f aca="false">(G770+H770+I770)/E770</f>
        <v>0.0272428497704865</v>
      </c>
    </row>
    <row r="771" customFormat="false" ht="14.25" hidden="false" customHeight="true" outlineLevel="0" collapsed="false">
      <c r="A771" s="5" t="s">
        <v>795</v>
      </c>
      <c r="B771" s="5" t="s">
        <v>25</v>
      </c>
      <c r="C771" s="6" t="n">
        <v>45927</v>
      </c>
      <c r="D771" s="5" t="s">
        <v>23</v>
      </c>
      <c r="E771" s="7" t="n">
        <v>250782</v>
      </c>
      <c r="F771" s="7" t="n">
        <v>167014</v>
      </c>
      <c r="G771" s="7" t="n">
        <v>11930</v>
      </c>
      <c r="H771" s="7" t="n">
        <v>3434</v>
      </c>
      <c r="I771" s="7" t="n">
        <v>6584</v>
      </c>
      <c r="J771" s="8" t="n">
        <v>13.14</v>
      </c>
      <c r="K771" s="9" t="n">
        <f aca="false">(G771+H771+I771)/E771</f>
        <v>0.0875182429360959</v>
      </c>
    </row>
    <row r="772" customFormat="false" ht="14.25" hidden="false" customHeight="true" outlineLevel="0" collapsed="false">
      <c r="A772" s="5" t="s">
        <v>796</v>
      </c>
      <c r="B772" s="5" t="s">
        <v>22</v>
      </c>
      <c r="C772" s="6" t="n">
        <v>45642</v>
      </c>
      <c r="D772" s="5" t="s">
        <v>19</v>
      </c>
      <c r="E772" s="7" t="n">
        <v>2682</v>
      </c>
      <c r="F772" s="7" t="n">
        <v>1770</v>
      </c>
      <c r="G772" s="7" t="n">
        <v>44</v>
      </c>
      <c r="H772" s="7" t="n">
        <v>8</v>
      </c>
      <c r="I772" s="7" t="n">
        <v>11</v>
      </c>
      <c r="J772" s="8" t="n">
        <v>3.56</v>
      </c>
      <c r="K772" s="9" t="n">
        <f aca="false">(G772+H772+I772)/E772</f>
        <v>0.023489932885906</v>
      </c>
    </row>
    <row r="773" customFormat="false" ht="14.25" hidden="false" customHeight="true" outlineLevel="0" collapsed="false">
      <c r="A773" s="5" t="s">
        <v>797</v>
      </c>
      <c r="B773" s="5" t="s">
        <v>14</v>
      </c>
      <c r="C773" s="6" t="n">
        <v>45959</v>
      </c>
      <c r="D773" s="5" t="s">
        <v>19</v>
      </c>
      <c r="E773" s="7" t="n">
        <v>20009</v>
      </c>
      <c r="F773" s="7" t="n">
        <v>8468</v>
      </c>
      <c r="G773" s="7" t="n">
        <v>296</v>
      </c>
      <c r="H773" s="7" t="n">
        <v>123</v>
      </c>
      <c r="I773" s="7" t="n">
        <v>63</v>
      </c>
      <c r="J773" s="8" t="n">
        <v>5.69</v>
      </c>
      <c r="K773" s="9" t="n">
        <f aca="false">(G773+H773+I773)/E773</f>
        <v>0.0240891598780549</v>
      </c>
    </row>
    <row r="774" customFormat="false" ht="14.25" hidden="false" customHeight="true" outlineLevel="0" collapsed="false">
      <c r="A774" s="5" t="s">
        <v>798</v>
      </c>
      <c r="B774" s="5" t="s">
        <v>14</v>
      </c>
      <c r="C774" s="6" t="n">
        <v>45415</v>
      </c>
      <c r="D774" s="5" t="s">
        <v>15</v>
      </c>
      <c r="E774" s="7" t="n">
        <v>2335</v>
      </c>
      <c r="F774" s="7" t="n">
        <v>1610</v>
      </c>
      <c r="G774" s="7" t="n">
        <v>78</v>
      </c>
      <c r="H774" s="7" t="n">
        <v>26</v>
      </c>
      <c r="I774" s="7" t="n">
        <v>42</v>
      </c>
      <c r="J774" s="8" t="n">
        <v>9.07</v>
      </c>
      <c r="K774" s="9" t="n">
        <f aca="false">(G774+H774+I774)/E774</f>
        <v>0.0625267665952891</v>
      </c>
    </row>
    <row r="775" customFormat="false" ht="14.25" hidden="false" customHeight="true" outlineLevel="0" collapsed="false">
      <c r="A775" s="5" t="s">
        <v>799</v>
      </c>
      <c r="B775" s="5" t="s">
        <v>25</v>
      </c>
      <c r="C775" s="6" t="n">
        <v>45316</v>
      </c>
      <c r="D775" s="5" t="s">
        <v>23</v>
      </c>
      <c r="E775" s="7" t="n">
        <v>34001</v>
      </c>
      <c r="F775" s="7" t="n">
        <v>18552</v>
      </c>
      <c r="G775" s="7" t="n">
        <v>671</v>
      </c>
      <c r="H775" s="7" t="n">
        <v>427</v>
      </c>
      <c r="I775" s="7" t="n">
        <v>524</v>
      </c>
      <c r="J775" s="8" t="n">
        <v>8.74</v>
      </c>
      <c r="K775" s="9" t="n">
        <f aca="false">(G775+H775+I775)/E775</f>
        <v>0.0477044792800212</v>
      </c>
    </row>
    <row r="776" customFormat="false" ht="14.25" hidden="false" customHeight="true" outlineLevel="0" collapsed="false">
      <c r="A776" s="5" t="s">
        <v>800</v>
      </c>
      <c r="B776" s="5" t="s">
        <v>22</v>
      </c>
      <c r="C776" s="6" t="n">
        <v>45902</v>
      </c>
      <c r="D776" s="5" t="s">
        <v>19</v>
      </c>
      <c r="E776" s="7" t="n">
        <v>7779</v>
      </c>
      <c r="F776" s="7" t="n">
        <v>5128</v>
      </c>
      <c r="G776" s="7" t="n">
        <v>116</v>
      </c>
      <c r="H776" s="7" t="n">
        <v>35</v>
      </c>
      <c r="I776" s="7" t="n">
        <v>34</v>
      </c>
      <c r="J776" s="8" t="n">
        <v>3.61</v>
      </c>
      <c r="K776" s="9" t="n">
        <f aca="false">(G776+H776+I776)/E776</f>
        <v>0.0237819771178815</v>
      </c>
    </row>
    <row r="777" customFormat="false" ht="14.25" hidden="false" customHeight="true" outlineLevel="0" collapsed="false">
      <c r="A777" s="5" t="s">
        <v>801</v>
      </c>
      <c r="B777" s="5" t="s">
        <v>18</v>
      </c>
      <c r="C777" s="6" t="n">
        <v>45634</v>
      </c>
      <c r="D777" s="5" t="s">
        <v>26</v>
      </c>
      <c r="E777" s="7" t="n">
        <v>63122</v>
      </c>
      <c r="F777" s="7" t="n">
        <v>36317</v>
      </c>
      <c r="G777" s="7" t="n">
        <v>1019</v>
      </c>
      <c r="H777" s="7" t="n">
        <v>314</v>
      </c>
      <c r="I777" s="7" t="n">
        <v>154</v>
      </c>
      <c r="J777" s="8" t="n">
        <v>4.09</v>
      </c>
      <c r="K777" s="9" t="n">
        <f aca="false">(G777+H777+I777)/E777</f>
        <v>0.0235575552105447</v>
      </c>
    </row>
    <row r="778" customFormat="false" ht="14.25" hidden="false" customHeight="true" outlineLevel="0" collapsed="false">
      <c r="A778" s="5" t="s">
        <v>802</v>
      </c>
      <c r="B778" s="5" t="s">
        <v>33</v>
      </c>
      <c r="C778" s="6" t="n">
        <v>45535</v>
      </c>
      <c r="D778" s="5" t="s">
        <v>28</v>
      </c>
      <c r="E778" s="7" t="n">
        <v>25468</v>
      </c>
      <c r="F778" s="7" t="n">
        <v>16797</v>
      </c>
      <c r="G778" s="7" t="n">
        <v>877</v>
      </c>
      <c r="H778" s="7" t="n">
        <v>196</v>
      </c>
      <c r="I778" s="7" t="n">
        <v>215</v>
      </c>
      <c r="J778" s="8" t="n">
        <v>7.67</v>
      </c>
      <c r="K778" s="9" t="n">
        <f aca="false">(G778+H778+I778)/E778</f>
        <v>0.0505732684152662</v>
      </c>
    </row>
    <row r="779" customFormat="false" ht="14.25" hidden="false" customHeight="true" outlineLevel="0" collapsed="false">
      <c r="A779" s="5" t="s">
        <v>803</v>
      </c>
      <c r="B779" s="5" t="s">
        <v>25</v>
      </c>
      <c r="C779" s="6" t="n">
        <v>45685</v>
      </c>
      <c r="D779" s="5" t="s">
        <v>26</v>
      </c>
      <c r="E779" s="7" t="n">
        <v>272197</v>
      </c>
      <c r="F779" s="7" t="n">
        <v>148281</v>
      </c>
      <c r="G779" s="7" t="n">
        <v>5045</v>
      </c>
      <c r="H779" s="7" t="n">
        <v>3127</v>
      </c>
      <c r="I779" s="7" t="n">
        <v>3810</v>
      </c>
      <c r="J779" s="8" t="n">
        <v>8.08</v>
      </c>
      <c r="K779" s="9" t="n">
        <f aca="false">(G779+H779+I779)/E779</f>
        <v>0.0440195887537335</v>
      </c>
    </row>
    <row r="780" customFormat="false" ht="14.25" hidden="false" customHeight="true" outlineLevel="0" collapsed="false">
      <c r="A780" s="5" t="s">
        <v>804</v>
      </c>
      <c r="B780" s="5" t="s">
        <v>33</v>
      </c>
      <c r="C780" s="6" t="n">
        <v>45924</v>
      </c>
      <c r="D780" s="5" t="s">
        <v>19</v>
      </c>
      <c r="E780" s="7" t="n">
        <v>13512</v>
      </c>
      <c r="F780" s="7" t="n">
        <v>9567</v>
      </c>
      <c r="G780" s="7" t="n">
        <v>308</v>
      </c>
      <c r="H780" s="7" t="n">
        <v>60</v>
      </c>
      <c r="I780" s="7" t="n">
        <v>73</v>
      </c>
      <c r="J780" s="8" t="n">
        <v>4.61</v>
      </c>
      <c r="K780" s="9" t="n">
        <f aca="false">(G780+H780+I780)/E780</f>
        <v>0.0326376554174068</v>
      </c>
    </row>
    <row r="781" customFormat="false" ht="14.25" hidden="false" customHeight="true" outlineLevel="0" collapsed="false">
      <c r="A781" s="5" t="s">
        <v>805</v>
      </c>
      <c r="B781" s="5" t="s">
        <v>25</v>
      </c>
      <c r="C781" s="6" t="n">
        <v>45827</v>
      </c>
      <c r="D781" s="5" t="s">
        <v>23</v>
      </c>
      <c r="E781" s="7" t="n">
        <v>333804</v>
      </c>
      <c r="F781" s="7" t="n">
        <v>200609</v>
      </c>
      <c r="G781" s="7" t="n">
        <v>20034</v>
      </c>
      <c r="H781" s="7" t="n">
        <v>4299</v>
      </c>
      <c r="I781" s="7" t="n">
        <v>9831</v>
      </c>
      <c r="J781" s="8" t="n">
        <v>17.03</v>
      </c>
      <c r="K781" s="9" t="n">
        <f aca="false">(G781+H781+I781)/E781</f>
        <v>0.102347485350685</v>
      </c>
    </row>
    <row r="782" customFormat="false" ht="14.25" hidden="false" customHeight="true" outlineLevel="0" collapsed="false">
      <c r="A782" s="5" t="s">
        <v>806</v>
      </c>
      <c r="B782" s="5" t="s">
        <v>33</v>
      </c>
      <c r="C782" s="6" t="n">
        <v>45705</v>
      </c>
      <c r="D782" s="5" t="s">
        <v>28</v>
      </c>
      <c r="E782" s="7" t="n">
        <v>23579</v>
      </c>
      <c r="F782" s="7" t="n">
        <v>9773</v>
      </c>
      <c r="G782" s="7" t="n">
        <v>449</v>
      </c>
      <c r="H782" s="7" t="n">
        <v>138</v>
      </c>
      <c r="I782" s="7" t="n">
        <v>134</v>
      </c>
      <c r="J782" s="8" t="n">
        <v>7.38</v>
      </c>
      <c r="K782" s="9" t="n">
        <f aca="false">(G782+H782+I782)/E782</f>
        <v>0.0305780567454091</v>
      </c>
    </row>
    <row r="783" customFormat="false" ht="14.25" hidden="false" customHeight="true" outlineLevel="0" collapsed="false">
      <c r="A783" s="5" t="s">
        <v>807</v>
      </c>
      <c r="B783" s="5" t="s">
        <v>14</v>
      </c>
      <c r="C783" s="6" t="n">
        <v>45445</v>
      </c>
      <c r="D783" s="5" t="s">
        <v>19</v>
      </c>
      <c r="E783" s="7" t="n">
        <v>13503</v>
      </c>
      <c r="F783" s="7" t="n">
        <v>5399</v>
      </c>
      <c r="G783" s="7" t="n">
        <v>264</v>
      </c>
      <c r="H783" s="7" t="n">
        <v>61</v>
      </c>
      <c r="I783" s="7" t="n">
        <v>84</v>
      </c>
      <c r="J783" s="8" t="n">
        <v>7.58</v>
      </c>
      <c r="K783" s="9" t="n">
        <f aca="false">(G783+H783+I783)/E783</f>
        <v>0.0302895652817892</v>
      </c>
    </row>
    <row r="784" customFormat="false" ht="14.25" hidden="false" customHeight="true" outlineLevel="0" collapsed="false">
      <c r="A784" s="5" t="s">
        <v>808</v>
      </c>
      <c r="B784" s="5" t="s">
        <v>14</v>
      </c>
      <c r="C784" s="6" t="n">
        <v>45488</v>
      </c>
      <c r="D784" s="5" t="s">
        <v>28</v>
      </c>
      <c r="E784" s="7" t="n">
        <v>16980</v>
      </c>
      <c r="F784" s="7" t="n">
        <v>10531</v>
      </c>
      <c r="G784" s="7" t="n">
        <v>287</v>
      </c>
      <c r="H784" s="7" t="n">
        <v>68</v>
      </c>
      <c r="I784" s="7" t="n">
        <v>249</v>
      </c>
      <c r="J784" s="8" t="n">
        <v>5.74</v>
      </c>
      <c r="K784" s="9" t="n">
        <f aca="false">(G784+H784+I784)/E784</f>
        <v>0.0355712603062426</v>
      </c>
    </row>
    <row r="785" customFormat="false" ht="14.25" hidden="false" customHeight="true" outlineLevel="0" collapsed="false">
      <c r="A785" s="5" t="s">
        <v>809</v>
      </c>
      <c r="B785" s="5" t="s">
        <v>14</v>
      </c>
      <c r="C785" s="6" t="n">
        <v>45513</v>
      </c>
      <c r="D785" s="5" t="s">
        <v>28</v>
      </c>
      <c r="E785" s="7" t="n">
        <v>30937</v>
      </c>
      <c r="F785" s="7" t="n">
        <v>15088</v>
      </c>
      <c r="G785" s="7" t="n">
        <v>213</v>
      </c>
      <c r="H785" s="7" t="n">
        <v>73</v>
      </c>
      <c r="I785" s="7" t="n">
        <v>306</v>
      </c>
      <c r="J785" s="8" t="n">
        <v>3.92</v>
      </c>
      <c r="K785" s="9" t="n">
        <f aca="false">(G785+H785+I785)/E785</f>
        <v>0.0191356627985907</v>
      </c>
    </row>
    <row r="786" customFormat="false" ht="14.25" hidden="false" customHeight="true" outlineLevel="0" collapsed="false">
      <c r="A786" s="5" t="s">
        <v>810</v>
      </c>
      <c r="B786" s="5" t="s">
        <v>14</v>
      </c>
      <c r="C786" s="6" t="n">
        <v>45958</v>
      </c>
      <c r="D786" s="5" t="s">
        <v>19</v>
      </c>
      <c r="E786" s="7" t="n">
        <v>26470</v>
      </c>
      <c r="F786" s="7" t="n">
        <v>14840</v>
      </c>
      <c r="G786" s="7" t="n">
        <v>188</v>
      </c>
      <c r="H786" s="7" t="n">
        <v>83</v>
      </c>
      <c r="I786" s="7" t="n">
        <v>357</v>
      </c>
      <c r="J786" s="8" t="n">
        <v>4.23</v>
      </c>
      <c r="K786" s="9" t="n">
        <f aca="false">(G786+H786+I786)/E786</f>
        <v>0.023724971666037</v>
      </c>
    </row>
    <row r="787" customFormat="false" ht="14.25" hidden="false" customHeight="true" outlineLevel="0" collapsed="false">
      <c r="A787" s="5" t="s">
        <v>811</v>
      </c>
      <c r="B787" s="5" t="s">
        <v>25</v>
      </c>
      <c r="C787" s="6" t="n">
        <v>46007</v>
      </c>
      <c r="D787" s="5" t="s">
        <v>26</v>
      </c>
      <c r="E787" s="7" t="n">
        <v>108168</v>
      </c>
      <c r="F787" s="7" t="n">
        <v>45234</v>
      </c>
      <c r="G787" s="7" t="n">
        <v>3836</v>
      </c>
      <c r="H787" s="7" t="n">
        <v>1170</v>
      </c>
      <c r="I787" s="7" t="n">
        <v>1513</v>
      </c>
      <c r="J787" s="8" t="n">
        <v>14.41</v>
      </c>
      <c r="K787" s="9" t="n">
        <f aca="false">(G787+H787+I787)/E787</f>
        <v>0.0602673618815176</v>
      </c>
    </row>
    <row r="788" customFormat="false" ht="14.25" hidden="false" customHeight="true" outlineLevel="0" collapsed="false">
      <c r="A788" s="5" t="s">
        <v>812</v>
      </c>
      <c r="B788" s="5" t="s">
        <v>14</v>
      </c>
      <c r="C788" s="6" t="n">
        <v>45312</v>
      </c>
      <c r="D788" s="5" t="s">
        <v>28</v>
      </c>
      <c r="E788" s="7" t="n">
        <v>19486</v>
      </c>
      <c r="F788" s="7" t="n">
        <v>9257</v>
      </c>
      <c r="G788" s="7" t="n">
        <v>230</v>
      </c>
      <c r="H788" s="7" t="n">
        <v>72</v>
      </c>
      <c r="I788" s="7" t="n">
        <v>114</v>
      </c>
      <c r="J788" s="8" t="n">
        <v>4.49</v>
      </c>
      <c r="K788" s="9" t="n">
        <f aca="false">(G788+H788+I788)/E788</f>
        <v>0.0213486605768244</v>
      </c>
    </row>
    <row r="789" customFormat="false" ht="14.25" hidden="false" customHeight="true" outlineLevel="0" collapsed="false">
      <c r="A789" s="5" t="s">
        <v>813</v>
      </c>
      <c r="B789" s="5" t="s">
        <v>25</v>
      </c>
      <c r="C789" s="6" t="n">
        <v>45368</v>
      </c>
      <c r="D789" s="5" t="s">
        <v>23</v>
      </c>
      <c r="E789" s="7" t="n">
        <v>327325</v>
      </c>
      <c r="F789" s="7" t="n">
        <v>185924</v>
      </c>
      <c r="G789" s="7" t="n">
        <v>16944</v>
      </c>
      <c r="H789" s="7" t="n">
        <v>1712</v>
      </c>
      <c r="I789" s="7" t="n">
        <v>8146</v>
      </c>
      <c r="J789" s="8" t="n">
        <v>14.42</v>
      </c>
      <c r="K789" s="9" t="n">
        <f aca="false">(G789+H789+I789)/E789</f>
        <v>0.0818819216375162</v>
      </c>
    </row>
    <row r="790" customFormat="false" ht="14.25" hidden="false" customHeight="true" outlineLevel="0" collapsed="false">
      <c r="A790" s="5" t="s">
        <v>814</v>
      </c>
      <c r="B790" s="5" t="s">
        <v>25</v>
      </c>
      <c r="C790" s="6" t="n">
        <v>45650</v>
      </c>
      <c r="D790" s="5" t="s">
        <v>23</v>
      </c>
      <c r="E790" s="7" t="n">
        <v>209403</v>
      </c>
      <c r="F790" s="7" t="n">
        <v>116276</v>
      </c>
      <c r="G790" s="7" t="n">
        <v>10312</v>
      </c>
      <c r="H790" s="7" t="n">
        <v>2772</v>
      </c>
      <c r="I790" s="7" t="n">
        <v>3701</v>
      </c>
      <c r="J790" s="8" t="n">
        <v>14.44</v>
      </c>
      <c r="K790" s="9" t="n">
        <f aca="false">(G790+H790+I790)/E790</f>
        <v>0.0801564447500752</v>
      </c>
    </row>
    <row r="791" customFormat="false" ht="14.25" hidden="false" customHeight="true" outlineLevel="0" collapsed="false">
      <c r="A791" s="5" t="s">
        <v>815</v>
      </c>
      <c r="B791" s="5" t="s">
        <v>18</v>
      </c>
      <c r="C791" s="6" t="n">
        <v>45812</v>
      </c>
      <c r="D791" s="5" t="s">
        <v>28</v>
      </c>
      <c r="E791" s="7" t="n">
        <v>43665</v>
      </c>
      <c r="F791" s="7" t="n">
        <v>33548</v>
      </c>
      <c r="G791" s="7" t="n">
        <v>1507</v>
      </c>
      <c r="H791" s="7" t="n">
        <v>85</v>
      </c>
      <c r="I791" s="7" t="n">
        <v>318</v>
      </c>
      <c r="J791" s="8" t="n">
        <v>5.69</v>
      </c>
      <c r="K791" s="9" t="n">
        <f aca="false">(G791+H791+I791)/E791</f>
        <v>0.0437421275621207</v>
      </c>
    </row>
    <row r="792" customFormat="false" ht="14.25" hidden="false" customHeight="true" outlineLevel="0" collapsed="false">
      <c r="A792" s="5" t="s">
        <v>816</v>
      </c>
      <c r="B792" s="5" t="s">
        <v>14</v>
      </c>
      <c r="C792" s="6" t="n">
        <v>45353</v>
      </c>
      <c r="D792" s="5" t="s">
        <v>28</v>
      </c>
      <c r="E792" s="7" t="n">
        <v>44840</v>
      </c>
      <c r="F792" s="7" t="n">
        <v>30742</v>
      </c>
      <c r="G792" s="7" t="n">
        <v>948</v>
      </c>
      <c r="H792" s="7" t="n">
        <v>433</v>
      </c>
      <c r="I792" s="7" t="n">
        <v>515</v>
      </c>
      <c r="J792" s="8" t="n">
        <v>6.17</v>
      </c>
      <c r="K792" s="9" t="n">
        <f aca="false">(G792+H792+I792)/E792</f>
        <v>0.0422836752899197</v>
      </c>
    </row>
    <row r="793" customFormat="false" ht="14.25" hidden="false" customHeight="true" outlineLevel="0" collapsed="false">
      <c r="A793" s="5" t="s">
        <v>817</v>
      </c>
      <c r="B793" s="5" t="s">
        <v>22</v>
      </c>
      <c r="C793" s="6" t="n">
        <v>45612</v>
      </c>
      <c r="D793" s="5" t="s">
        <v>23</v>
      </c>
      <c r="E793" s="7" t="n">
        <v>28891</v>
      </c>
      <c r="F793" s="7" t="n">
        <v>24605</v>
      </c>
      <c r="G793" s="7" t="n">
        <v>695</v>
      </c>
      <c r="H793" s="7" t="n">
        <v>101</v>
      </c>
      <c r="I793" s="7" t="n">
        <v>324</v>
      </c>
      <c r="J793" s="8" t="n">
        <v>4.55</v>
      </c>
      <c r="K793" s="9" t="n">
        <f aca="false">(G793+H793+I793)/E793</f>
        <v>0.0387663978401578</v>
      </c>
    </row>
    <row r="794" customFormat="false" ht="14.25" hidden="false" customHeight="true" outlineLevel="0" collapsed="false">
      <c r="A794" s="5" t="s">
        <v>818</v>
      </c>
      <c r="B794" s="5" t="s">
        <v>33</v>
      </c>
      <c r="C794" s="6" t="n">
        <v>45350</v>
      </c>
      <c r="D794" s="5" t="s">
        <v>15</v>
      </c>
      <c r="E794" s="7" t="n">
        <v>19665</v>
      </c>
      <c r="F794" s="7" t="n">
        <v>13473</v>
      </c>
      <c r="G794" s="7" t="n">
        <v>511</v>
      </c>
      <c r="H794" s="7" t="n">
        <v>317</v>
      </c>
      <c r="I794" s="7" t="n">
        <v>157</v>
      </c>
      <c r="J794" s="8" t="n">
        <v>7.31</v>
      </c>
      <c r="K794" s="9" t="n">
        <f aca="false">(G794+H794+I794)/E794</f>
        <v>0.0500889905924231</v>
      </c>
    </row>
    <row r="795" customFormat="false" ht="14.25" hidden="false" customHeight="true" outlineLevel="0" collapsed="false">
      <c r="A795" s="5" t="s">
        <v>819</v>
      </c>
      <c r="B795" s="5" t="s">
        <v>25</v>
      </c>
      <c r="C795" s="6" t="n">
        <v>45940</v>
      </c>
      <c r="D795" s="5" t="s">
        <v>26</v>
      </c>
      <c r="E795" s="7" t="n">
        <v>309901</v>
      </c>
      <c r="F795" s="7" t="n">
        <v>126021</v>
      </c>
      <c r="G795" s="7" t="n">
        <v>6844</v>
      </c>
      <c r="H795" s="7" t="n">
        <v>677</v>
      </c>
      <c r="I795" s="7" t="n">
        <v>4597</v>
      </c>
      <c r="J795" s="8" t="n">
        <v>9.62</v>
      </c>
      <c r="K795" s="9" t="n">
        <f aca="false">(G795+H795+I795)/E795</f>
        <v>0.0391028102523064</v>
      </c>
    </row>
    <row r="796" customFormat="false" ht="14.25" hidden="false" customHeight="true" outlineLevel="0" collapsed="false">
      <c r="A796" s="5" t="s">
        <v>820</v>
      </c>
      <c r="B796" s="5" t="s">
        <v>18</v>
      </c>
      <c r="C796" s="6" t="n">
        <v>45869</v>
      </c>
      <c r="D796" s="5" t="s">
        <v>26</v>
      </c>
      <c r="E796" s="7" t="n">
        <v>78507</v>
      </c>
      <c r="F796" s="7" t="n">
        <v>44593</v>
      </c>
      <c r="G796" s="7" t="n">
        <v>3309</v>
      </c>
      <c r="H796" s="7" t="n">
        <v>647</v>
      </c>
      <c r="I796" s="7" t="n">
        <v>259</v>
      </c>
      <c r="J796" s="8" t="n">
        <v>9.45</v>
      </c>
      <c r="K796" s="9" t="n">
        <f aca="false">(G796+H796+I796)/E796</f>
        <v>0.0536894799189881</v>
      </c>
    </row>
    <row r="797" customFormat="false" ht="14.25" hidden="false" customHeight="true" outlineLevel="0" collapsed="false">
      <c r="A797" s="5" t="s">
        <v>821</v>
      </c>
      <c r="B797" s="5" t="s">
        <v>22</v>
      </c>
      <c r="C797" s="6" t="n">
        <v>45662</v>
      </c>
      <c r="D797" s="5" t="s">
        <v>15</v>
      </c>
      <c r="E797" s="7" t="n">
        <v>12523</v>
      </c>
      <c r="F797" s="7" t="n">
        <v>10237</v>
      </c>
      <c r="G797" s="7" t="n">
        <v>168</v>
      </c>
      <c r="H797" s="7" t="n">
        <v>77</v>
      </c>
      <c r="I797" s="7" t="n">
        <v>131</v>
      </c>
      <c r="J797" s="8" t="n">
        <v>3.67</v>
      </c>
      <c r="K797" s="9" t="n">
        <f aca="false">(G797+H797+I797)/E797</f>
        <v>0.0300247544518087</v>
      </c>
    </row>
    <row r="798" customFormat="false" ht="14.25" hidden="false" customHeight="true" outlineLevel="0" collapsed="false">
      <c r="A798" s="5" t="s">
        <v>822</v>
      </c>
      <c r="B798" s="5" t="s">
        <v>18</v>
      </c>
      <c r="C798" s="6" t="n">
        <v>45783</v>
      </c>
      <c r="D798" s="5" t="s">
        <v>26</v>
      </c>
      <c r="E798" s="7" t="n">
        <v>16546</v>
      </c>
      <c r="F798" s="7" t="n">
        <v>10784</v>
      </c>
      <c r="G798" s="7" t="n">
        <v>795</v>
      </c>
      <c r="H798" s="7" t="n">
        <v>89</v>
      </c>
      <c r="I798" s="7" t="n">
        <v>64</v>
      </c>
      <c r="J798" s="8" t="n">
        <v>8.79</v>
      </c>
      <c r="K798" s="9" t="n">
        <f aca="false">(G798+H798+I798)/E798</f>
        <v>0.0572948144566663</v>
      </c>
    </row>
    <row r="799" customFormat="false" ht="14.25" hidden="false" customHeight="true" outlineLevel="0" collapsed="false">
      <c r="A799" s="5" t="s">
        <v>823</v>
      </c>
      <c r="B799" s="5" t="s">
        <v>22</v>
      </c>
      <c r="C799" s="6" t="n">
        <v>45778</v>
      </c>
      <c r="D799" s="5" t="s">
        <v>15</v>
      </c>
      <c r="E799" s="7" t="n">
        <v>22672</v>
      </c>
      <c r="F799" s="7" t="n">
        <v>13697</v>
      </c>
      <c r="G799" s="7" t="n">
        <v>253</v>
      </c>
      <c r="H799" s="7" t="n">
        <v>45</v>
      </c>
      <c r="I799" s="7" t="n">
        <v>150</v>
      </c>
      <c r="J799" s="8" t="n">
        <v>3.27</v>
      </c>
      <c r="K799" s="9" t="n">
        <f aca="false">(G799+H799+I799)/E799</f>
        <v>0.0197600564573042</v>
      </c>
    </row>
    <row r="800" customFormat="false" ht="14.25" hidden="false" customHeight="true" outlineLevel="0" collapsed="false">
      <c r="A800" s="5" t="s">
        <v>824</v>
      </c>
      <c r="B800" s="5" t="s">
        <v>18</v>
      </c>
      <c r="C800" s="6" t="n">
        <v>45580</v>
      </c>
      <c r="D800" s="5" t="s">
        <v>28</v>
      </c>
      <c r="E800" s="7" t="n">
        <v>72621</v>
      </c>
      <c r="F800" s="7" t="n">
        <v>56147</v>
      </c>
      <c r="G800" s="7" t="n">
        <v>4186</v>
      </c>
      <c r="H800" s="7" t="n">
        <v>283</v>
      </c>
      <c r="I800" s="7" t="n">
        <v>178</v>
      </c>
      <c r="J800" s="8" t="n">
        <v>8.28</v>
      </c>
      <c r="K800" s="9" t="n">
        <f aca="false">(G800+H800+I800)/E800</f>
        <v>0.0639897550295369</v>
      </c>
    </row>
    <row r="801" customFormat="false" ht="14.25" hidden="false" customHeight="true" outlineLevel="0" collapsed="false">
      <c r="A801" s="5" t="s">
        <v>825</v>
      </c>
      <c r="B801" s="5" t="s">
        <v>22</v>
      </c>
      <c r="C801" s="6" t="n">
        <v>45511</v>
      </c>
      <c r="D801" s="5" t="s">
        <v>19</v>
      </c>
      <c r="E801" s="7" t="n">
        <v>16084</v>
      </c>
      <c r="F801" s="7" t="n">
        <v>13865</v>
      </c>
      <c r="G801" s="7" t="n">
        <v>227</v>
      </c>
      <c r="H801" s="7" t="n">
        <v>107</v>
      </c>
      <c r="I801" s="7" t="n">
        <v>245</v>
      </c>
      <c r="J801" s="8" t="n">
        <v>4.18</v>
      </c>
      <c r="K801" s="9" t="n">
        <f aca="false">(G801+H801+I801)/E801</f>
        <v>0.0359985078338722</v>
      </c>
    </row>
    <row r="802" customFormat="false" ht="14.25" hidden="false" customHeight="true" outlineLevel="0" collapsed="false">
      <c r="A802" s="5" t="s">
        <v>826</v>
      </c>
      <c r="B802" s="5" t="s">
        <v>18</v>
      </c>
      <c r="C802" s="6" t="n">
        <v>45373</v>
      </c>
      <c r="D802" s="5" t="s">
        <v>26</v>
      </c>
      <c r="E802" s="7" t="n">
        <v>8929</v>
      </c>
      <c r="F802" s="7" t="n">
        <v>7013</v>
      </c>
      <c r="G802" s="7" t="n">
        <v>541</v>
      </c>
      <c r="H802" s="7" t="n">
        <v>94</v>
      </c>
      <c r="I802" s="7" t="n">
        <v>47</v>
      </c>
      <c r="J802" s="8" t="n">
        <v>9.72</v>
      </c>
      <c r="K802" s="9" t="n">
        <f aca="false">(G802+H802+I802)/E802</f>
        <v>0.0763803337439803</v>
      </c>
    </row>
    <row r="803" customFormat="false" ht="14.25" hidden="false" customHeight="true" outlineLevel="0" collapsed="false">
      <c r="A803" s="5" t="s">
        <v>827</v>
      </c>
      <c r="B803" s="5" t="s">
        <v>14</v>
      </c>
      <c r="C803" s="6" t="n">
        <v>45780</v>
      </c>
      <c r="D803" s="5" t="s">
        <v>15</v>
      </c>
      <c r="E803" s="7" t="n">
        <v>15199</v>
      </c>
      <c r="F803" s="7" t="n">
        <v>8810</v>
      </c>
      <c r="G803" s="7" t="n">
        <v>264</v>
      </c>
      <c r="H803" s="7" t="n">
        <v>29</v>
      </c>
      <c r="I803" s="7" t="n">
        <v>151</v>
      </c>
      <c r="J803" s="8" t="n">
        <v>5.04</v>
      </c>
      <c r="K803" s="9" t="n">
        <f aca="false">(G803+H803+I803)/E803</f>
        <v>0.0292124481873808</v>
      </c>
    </row>
    <row r="804" customFormat="false" ht="14.25" hidden="false" customHeight="true" outlineLevel="0" collapsed="false">
      <c r="A804" s="5" t="s">
        <v>828</v>
      </c>
      <c r="B804" s="5" t="s">
        <v>25</v>
      </c>
      <c r="C804" s="6" t="n">
        <v>45643</v>
      </c>
      <c r="D804" s="5" t="s">
        <v>26</v>
      </c>
      <c r="E804" s="7" t="n">
        <v>31608</v>
      </c>
      <c r="F804" s="7" t="n">
        <v>10540</v>
      </c>
      <c r="G804" s="7" t="n">
        <v>499</v>
      </c>
      <c r="H804" s="7" t="n">
        <v>63</v>
      </c>
      <c r="I804" s="7" t="n">
        <v>116</v>
      </c>
      <c r="J804" s="8" t="n">
        <v>6.43</v>
      </c>
      <c r="K804" s="9" t="n">
        <f aca="false">(G804+H804+I804)/E804</f>
        <v>0.0214502657555049</v>
      </c>
    </row>
    <row r="805" customFormat="false" ht="14.25" hidden="false" customHeight="true" outlineLevel="0" collapsed="false">
      <c r="A805" s="5" t="s">
        <v>829</v>
      </c>
      <c r="B805" s="5" t="s">
        <v>22</v>
      </c>
      <c r="C805" s="6" t="n">
        <v>45657</v>
      </c>
      <c r="D805" s="5" t="s">
        <v>19</v>
      </c>
      <c r="E805" s="7" t="n">
        <v>18381</v>
      </c>
      <c r="F805" s="7" t="n">
        <v>12860</v>
      </c>
      <c r="G805" s="7" t="n">
        <v>251</v>
      </c>
      <c r="H805" s="7" t="n">
        <v>16</v>
      </c>
      <c r="I805" s="7" t="n">
        <v>137</v>
      </c>
      <c r="J805" s="8" t="n">
        <v>3.14</v>
      </c>
      <c r="K805" s="9" t="n">
        <f aca="false">(G805+H805+I805)/E805</f>
        <v>0.0219792176704205</v>
      </c>
    </row>
    <row r="806" customFormat="false" ht="14.25" hidden="false" customHeight="true" outlineLevel="0" collapsed="false">
      <c r="A806" s="5" t="s">
        <v>830</v>
      </c>
      <c r="B806" s="5" t="s">
        <v>18</v>
      </c>
      <c r="C806" s="6" t="n">
        <v>45650</v>
      </c>
      <c r="D806" s="5" t="s">
        <v>26</v>
      </c>
      <c r="E806" s="7" t="n">
        <v>8019</v>
      </c>
      <c r="F806" s="7" t="n">
        <v>4735</v>
      </c>
      <c r="G806" s="7" t="n">
        <v>360</v>
      </c>
      <c r="H806" s="7" t="n">
        <v>13</v>
      </c>
      <c r="I806" s="7" t="n">
        <v>22</v>
      </c>
      <c r="J806" s="8" t="n">
        <v>8.34</v>
      </c>
      <c r="K806" s="9" t="n">
        <f aca="false">(G806+H806+I806)/E806</f>
        <v>0.0492580122209752</v>
      </c>
    </row>
    <row r="807" customFormat="false" ht="14.25" hidden="false" customHeight="true" outlineLevel="0" collapsed="false">
      <c r="A807" s="5" t="s">
        <v>831</v>
      </c>
      <c r="B807" s="5" t="s">
        <v>14</v>
      </c>
      <c r="C807" s="6" t="n">
        <v>45777</v>
      </c>
      <c r="D807" s="5" t="s">
        <v>23</v>
      </c>
      <c r="E807" s="7" t="n">
        <v>85320</v>
      </c>
      <c r="F807" s="7" t="n">
        <v>51527</v>
      </c>
      <c r="G807" s="7" t="n">
        <v>2350</v>
      </c>
      <c r="H807" s="7" t="n">
        <v>759</v>
      </c>
      <c r="I807" s="7" t="n">
        <v>509</v>
      </c>
      <c r="J807" s="8" t="n">
        <v>7.02</v>
      </c>
      <c r="K807" s="9" t="n">
        <f aca="false">(G807+H807+I807)/E807</f>
        <v>0.0424050632911392</v>
      </c>
    </row>
    <row r="808" customFormat="false" ht="14.25" hidden="false" customHeight="true" outlineLevel="0" collapsed="false">
      <c r="A808" s="5" t="s">
        <v>832</v>
      </c>
      <c r="B808" s="5" t="s">
        <v>18</v>
      </c>
      <c r="C808" s="6" t="n">
        <v>45476</v>
      </c>
      <c r="D808" s="5" t="s">
        <v>28</v>
      </c>
      <c r="E808" s="7" t="n">
        <v>38897</v>
      </c>
      <c r="F808" s="7" t="n">
        <v>30186</v>
      </c>
      <c r="G808" s="7" t="n">
        <v>786</v>
      </c>
      <c r="H808" s="7" t="n">
        <v>91</v>
      </c>
      <c r="I808" s="7" t="n">
        <v>102</v>
      </c>
      <c r="J808" s="8" t="n">
        <v>3.24</v>
      </c>
      <c r="K808" s="9" t="n">
        <f aca="false">(G808+H808+I808)/E808</f>
        <v>0.0251690361724555</v>
      </c>
    </row>
    <row r="809" customFormat="false" ht="14.25" hidden="false" customHeight="true" outlineLevel="0" collapsed="false">
      <c r="A809" s="5" t="s">
        <v>833</v>
      </c>
      <c r="B809" s="5" t="s">
        <v>14</v>
      </c>
      <c r="C809" s="6" t="n">
        <v>45766</v>
      </c>
      <c r="D809" s="5" t="s">
        <v>28</v>
      </c>
      <c r="E809" s="7" t="n">
        <v>34622</v>
      </c>
      <c r="F809" s="7" t="n">
        <v>15612</v>
      </c>
      <c r="G809" s="7" t="n">
        <v>653</v>
      </c>
      <c r="H809" s="7" t="n">
        <v>91</v>
      </c>
      <c r="I809" s="7" t="n">
        <v>213</v>
      </c>
      <c r="J809" s="8" t="n">
        <v>6.13</v>
      </c>
      <c r="K809" s="9" t="n">
        <f aca="false">(G809+H809+I809)/E809</f>
        <v>0.0276413840910404</v>
      </c>
    </row>
    <row r="810" customFormat="false" ht="14.25" hidden="false" customHeight="true" outlineLevel="0" collapsed="false">
      <c r="A810" s="5" t="s">
        <v>834</v>
      </c>
      <c r="B810" s="5" t="s">
        <v>14</v>
      </c>
      <c r="C810" s="6" t="n">
        <v>45838</v>
      </c>
      <c r="D810" s="5" t="s">
        <v>15</v>
      </c>
      <c r="E810" s="7" t="n">
        <v>896</v>
      </c>
      <c r="F810" s="7" t="n">
        <v>466</v>
      </c>
      <c r="G810" s="7" t="n">
        <v>18</v>
      </c>
      <c r="H810" s="7" t="n">
        <v>3</v>
      </c>
      <c r="I810" s="7" t="n">
        <v>10</v>
      </c>
      <c r="J810" s="8" t="n">
        <v>6.65</v>
      </c>
      <c r="K810" s="9" t="n">
        <f aca="false">(G810+H810+I810)/E810</f>
        <v>0.0345982142857143</v>
      </c>
    </row>
    <row r="811" customFormat="false" ht="14.25" hidden="false" customHeight="true" outlineLevel="0" collapsed="false">
      <c r="A811" s="5" t="s">
        <v>835</v>
      </c>
      <c r="B811" s="5" t="s">
        <v>25</v>
      </c>
      <c r="C811" s="6" t="n">
        <v>45796</v>
      </c>
      <c r="D811" s="5" t="s">
        <v>26</v>
      </c>
      <c r="E811" s="7" t="n">
        <v>267198</v>
      </c>
      <c r="F811" s="7" t="n">
        <v>130450</v>
      </c>
      <c r="G811" s="7" t="n">
        <v>15382</v>
      </c>
      <c r="H811" s="7" t="n">
        <v>954</v>
      </c>
      <c r="I811" s="7" t="n">
        <v>2977</v>
      </c>
      <c r="J811" s="8" t="n">
        <v>14.8</v>
      </c>
      <c r="K811" s="9" t="n">
        <f aca="false">(G811+H811+I811)/E811</f>
        <v>0.0722797326327293</v>
      </c>
    </row>
    <row r="812" customFormat="false" ht="14.25" hidden="false" customHeight="true" outlineLevel="0" collapsed="false">
      <c r="A812" s="5" t="s">
        <v>836</v>
      </c>
      <c r="B812" s="5" t="s">
        <v>14</v>
      </c>
      <c r="C812" s="6" t="n">
        <v>45795</v>
      </c>
      <c r="D812" s="5" t="s">
        <v>28</v>
      </c>
      <c r="E812" s="7" t="n">
        <v>5004</v>
      </c>
      <c r="F812" s="7" t="n">
        <v>2876</v>
      </c>
      <c r="G812" s="7" t="n">
        <v>33</v>
      </c>
      <c r="H812" s="7" t="n">
        <v>9</v>
      </c>
      <c r="I812" s="7" t="n">
        <v>36</v>
      </c>
      <c r="J812" s="8" t="n">
        <v>2.71</v>
      </c>
      <c r="K812" s="9" t="n">
        <f aca="false">(G812+H812+I812)/E812</f>
        <v>0.0155875299760192</v>
      </c>
    </row>
    <row r="813" customFormat="false" ht="14.25" hidden="false" customHeight="true" outlineLevel="0" collapsed="false">
      <c r="A813" s="5" t="s">
        <v>837</v>
      </c>
      <c r="B813" s="5" t="s">
        <v>18</v>
      </c>
      <c r="C813" s="6" t="n">
        <v>46009</v>
      </c>
      <c r="D813" s="5" t="s">
        <v>26</v>
      </c>
      <c r="E813" s="7" t="n">
        <v>92027</v>
      </c>
      <c r="F813" s="7" t="n">
        <v>71596</v>
      </c>
      <c r="G813" s="7" t="n">
        <v>1879</v>
      </c>
      <c r="H813" s="7" t="n">
        <v>757</v>
      </c>
      <c r="I813" s="7" t="n">
        <v>301</v>
      </c>
      <c r="J813" s="8" t="n">
        <v>4.1</v>
      </c>
      <c r="K813" s="9" t="n">
        <f aca="false">(G813+H813+I813)/E813</f>
        <v>0.0319145468177817</v>
      </c>
    </row>
    <row r="814" customFormat="false" ht="14.25" hidden="false" customHeight="true" outlineLevel="0" collapsed="false">
      <c r="A814" s="5" t="s">
        <v>838</v>
      </c>
      <c r="B814" s="5" t="s">
        <v>33</v>
      </c>
      <c r="C814" s="6" t="n">
        <v>45985</v>
      </c>
      <c r="D814" s="5" t="s">
        <v>23</v>
      </c>
      <c r="E814" s="7" t="n">
        <v>18602</v>
      </c>
      <c r="F814" s="7" t="n">
        <v>7631</v>
      </c>
      <c r="G814" s="7" t="n">
        <v>410</v>
      </c>
      <c r="H814" s="7" t="n">
        <v>99</v>
      </c>
      <c r="I814" s="7" t="n">
        <v>44</v>
      </c>
      <c r="J814" s="8" t="n">
        <v>7.25</v>
      </c>
      <c r="K814" s="9" t="n">
        <f aca="false">(G814+H814+I814)/E814</f>
        <v>0.0297279862380389</v>
      </c>
    </row>
    <row r="815" customFormat="false" ht="14.25" hidden="false" customHeight="true" outlineLevel="0" collapsed="false">
      <c r="A815" s="5" t="s">
        <v>839</v>
      </c>
      <c r="B815" s="5" t="s">
        <v>14</v>
      </c>
      <c r="C815" s="6" t="n">
        <v>45694</v>
      </c>
      <c r="D815" s="5" t="s">
        <v>23</v>
      </c>
      <c r="E815" s="7" t="n">
        <v>27727</v>
      </c>
      <c r="F815" s="7" t="n">
        <v>18430</v>
      </c>
      <c r="G815" s="7" t="n">
        <v>250</v>
      </c>
      <c r="H815" s="7" t="n">
        <v>141</v>
      </c>
      <c r="I815" s="7" t="n">
        <v>192</v>
      </c>
      <c r="J815" s="8" t="n">
        <v>3.16</v>
      </c>
      <c r="K815" s="9" t="n">
        <f aca="false">(G815+H815+I815)/E815</f>
        <v>0.0210264363256032</v>
      </c>
    </row>
    <row r="816" customFormat="false" ht="14.25" hidden="false" customHeight="true" outlineLevel="0" collapsed="false">
      <c r="A816" s="5" t="s">
        <v>840</v>
      </c>
      <c r="B816" s="5" t="s">
        <v>18</v>
      </c>
      <c r="C816" s="6" t="n">
        <v>45913</v>
      </c>
      <c r="D816" s="5" t="s">
        <v>23</v>
      </c>
      <c r="E816" s="7" t="n">
        <v>15247</v>
      </c>
      <c r="F816" s="7" t="n">
        <v>8056</v>
      </c>
      <c r="G816" s="7" t="n">
        <v>540</v>
      </c>
      <c r="H816" s="7" t="n">
        <v>26</v>
      </c>
      <c r="I816" s="7" t="n">
        <v>48</v>
      </c>
      <c r="J816" s="8" t="n">
        <v>7.62</v>
      </c>
      <c r="K816" s="9" t="n">
        <f aca="false">(G816+H816+I816)/E816</f>
        <v>0.0402702170918869</v>
      </c>
    </row>
    <row r="817" customFormat="false" ht="14.25" hidden="false" customHeight="true" outlineLevel="0" collapsed="false">
      <c r="A817" s="5" t="s">
        <v>841</v>
      </c>
      <c r="B817" s="5" t="s">
        <v>25</v>
      </c>
      <c r="C817" s="6" t="n">
        <v>45894</v>
      </c>
      <c r="D817" s="5" t="s">
        <v>23</v>
      </c>
      <c r="E817" s="7" t="n">
        <v>89894</v>
      </c>
      <c r="F817" s="7" t="n">
        <v>59291</v>
      </c>
      <c r="G817" s="7" t="n">
        <v>1939</v>
      </c>
      <c r="H817" s="7" t="n">
        <v>1048</v>
      </c>
      <c r="I817" s="7" t="n">
        <v>2205</v>
      </c>
      <c r="J817" s="8" t="n">
        <v>8.76</v>
      </c>
      <c r="K817" s="9" t="n">
        <f aca="false">(G817+H817+I817)/E817</f>
        <v>0.0577569136983558</v>
      </c>
    </row>
    <row r="818" customFormat="false" ht="14.25" hidden="false" customHeight="true" outlineLevel="0" collapsed="false">
      <c r="A818" s="5" t="s">
        <v>842</v>
      </c>
      <c r="B818" s="5" t="s">
        <v>18</v>
      </c>
      <c r="C818" s="6" t="n">
        <v>45875</v>
      </c>
      <c r="D818" s="5" t="s">
        <v>19</v>
      </c>
      <c r="E818" s="7" t="n">
        <v>27153</v>
      </c>
      <c r="F818" s="7" t="n">
        <v>19875</v>
      </c>
      <c r="G818" s="7" t="n">
        <v>1530</v>
      </c>
      <c r="H818" s="7" t="n">
        <v>162</v>
      </c>
      <c r="I818" s="7" t="n">
        <v>74</v>
      </c>
      <c r="J818" s="8" t="n">
        <v>8.89</v>
      </c>
      <c r="K818" s="9" t="n">
        <f aca="false">(G818+H818+I818)/E818</f>
        <v>0.065038853901963</v>
      </c>
    </row>
    <row r="819" customFormat="false" ht="14.25" hidden="false" customHeight="true" outlineLevel="0" collapsed="false">
      <c r="A819" s="5" t="s">
        <v>843</v>
      </c>
      <c r="B819" s="5" t="s">
        <v>33</v>
      </c>
      <c r="C819" s="6" t="n">
        <v>45318</v>
      </c>
      <c r="D819" s="5" t="s">
        <v>23</v>
      </c>
      <c r="E819" s="7" t="n">
        <v>4784</v>
      </c>
      <c r="F819" s="7" t="n">
        <v>2037</v>
      </c>
      <c r="G819" s="7" t="n">
        <v>35</v>
      </c>
      <c r="H819" s="7" t="n">
        <v>15</v>
      </c>
      <c r="I819" s="7" t="n">
        <v>25</v>
      </c>
      <c r="J819" s="8" t="n">
        <v>3.68</v>
      </c>
      <c r="K819" s="9" t="n">
        <f aca="false">(G819+H819+I819)/E819</f>
        <v>0.0156772575250836</v>
      </c>
    </row>
    <row r="820" customFormat="false" ht="14.25" hidden="false" customHeight="true" outlineLevel="0" collapsed="false">
      <c r="A820" s="5" t="s">
        <v>844</v>
      </c>
      <c r="B820" s="5" t="s">
        <v>22</v>
      </c>
      <c r="C820" s="6" t="n">
        <v>45969</v>
      </c>
      <c r="D820" s="5" t="s">
        <v>23</v>
      </c>
      <c r="E820" s="7" t="n">
        <v>13034</v>
      </c>
      <c r="F820" s="7" t="n">
        <v>9588</v>
      </c>
      <c r="G820" s="7" t="n">
        <v>212</v>
      </c>
      <c r="H820" s="7" t="n">
        <v>20</v>
      </c>
      <c r="I820" s="7" t="n">
        <v>99</v>
      </c>
      <c r="J820" s="8" t="n">
        <v>3.45</v>
      </c>
      <c r="K820" s="9" t="n">
        <f aca="false">(G820+H820+I820)/E820</f>
        <v>0.0253951204541967</v>
      </c>
    </row>
    <row r="821" customFormat="false" ht="14.25" hidden="false" customHeight="true" outlineLevel="0" collapsed="false">
      <c r="A821" s="5" t="s">
        <v>845</v>
      </c>
      <c r="B821" s="5" t="s">
        <v>22</v>
      </c>
      <c r="C821" s="6" t="n">
        <v>45795</v>
      </c>
      <c r="D821" s="5" t="s">
        <v>15</v>
      </c>
      <c r="E821" s="7" t="n">
        <v>18057</v>
      </c>
      <c r="F821" s="7" t="n">
        <v>13827</v>
      </c>
      <c r="G821" s="7" t="n">
        <v>299</v>
      </c>
      <c r="H821" s="7" t="n">
        <v>64</v>
      </c>
      <c r="I821" s="7" t="n">
        <v>151</v>
      </c>
      <c r="J821" s="8" t="n">
        <v>3.72</v>
      </c>
      <c r="K821" s="9" t="n">
        <f aca="false">(G821+H821+I821)/E821</f>
        <v>0.0284654150744864</v>
      </c>
    </row>
    <row r="822" customFormat="false" ht="14.25" hidden="false" customHeight="true" outlineLevel="0" collapsed="false">
      <c r="A822" s="5" t="s">
        <v>846</v>
      </c>
      <c r="B822" s="5" t="s">
        <v>25</v>
      </c>
      <c r="C822" s="6" t="n">
        <v>45562</v>
      </c>
      <c r="D822" s="5" t="s">
        <v>26</v>
      </c>
      <c r="E822" s="7" t="n">
        <v>179719</v>
      </c>
      <c r="F822" s="7" t="n">
        <v>70601</v>
      </c>
      <c r="G822" s="7" t="n">
        <v>4549</v>
      </c>
      <c r="H822" s="7" t="n">
        <v>1643</v>
      </c>
      <c r="I822" s="7" t="n">
        <v>975</v>
      </c>
      <c r="J822" s="8" t="n">
        <v>10.15</v>
      </c>
      <c r="K822" s="9" t="n">
        <f aca="false">(G822+H822+I822)/E822</f>
        <v>0.0398789220950484</v>
      </c>
    </row>
    <row r="823" customFormat="false" ht="14.25" hidden="false" customHeight="true" outlineLevel="0" collapsed="false">
      <c r="A823" s="5" t="s">
        <v>847</v>
      </c>
      <c r="B823" s="5" t="s">
        <v>22</v>
      </c>
      <c r="C823" s="6" t="n">
        <v>46010</v>
      </c>
      <c r="D823" s="5" t="s">
        <v>15</v>
      </c>
      <c r="E823" s="7" t="n">
        <v>23924</v>
      </c>
      <c r="F823" s="7" t="n">
        <v>11970</v>
      </c>
      <c r="G823" s="7" t="n">
        <v>195</v>
      </c>
      <c r="H823" s="7" t="n">
        <v>81</v>
      </c>
      <c r="I823" s="7" t="n">
        <v>148</v>
      </c>
      <c r="J823" s="8" t="n">
        <v>3.54</v>
      </c>
      <c r="K823" s="9" t="n">
        <f aca="false">(G823+H823+I823)/E823</f>
        <v>0.0177227888312991</v>
      </c>
    </row>
    <row r="824" customFormat="false" ht="14.25" hidden="false" customHeight="true" outlineLevel="0" collapsed="false">
      <c r="A824" s="5" t="s">
        <v>848</v>
      </c>
      <c r="B824" s="5" t="s">
        <v>25</v>
      </c>
      <c r="C824" s="6" t="n">
        <v>45490</v>
      </c>
      <c r="D824" s="5" t="s">
        <v>26</v>
      </c>
      <c r="E824" s="7" t="n">
        <v>300492</v>
      </c>
      <c r="F824" s="7" t="n">
        <v>142306</v>
      </c>
      <c r="G824" s="7" t="n">
        <v>10847</v>
      </c>
      <c r="H824" s="7" t="n">
        <v>2910</v>
      </c>
      <c r="I824" s="7" t="n">
        <v>4021</v>
      </c>
      <c r="J824" s="8" t="n">
        <v>12.49</v>
      </c>
      <c r="K824" s="9" t="n">
        <f aca="false">(G824+H824+I824)/E824</f>
        <v>0.0591629727247314</v>
      </c>
    </row>
    <row r="825" customFormat="false" ht="14.25" hidden="false" customHeight="true" outlineLevel="0" collapsed="false">
      <c r="A825" s="5" t="s">
        <v>849</v>
      </c>
      <c r="B825" s="5" t="s">
        <v>18</v>
      </c>
      <c r="C825" s="6" t="n">
        <v>45630</v>
      </c>
      <c r="D825" s="5" t="s">
        <v>19</v>
      </c>
      <c r="E825" s="7" t="n">
        <v>28585</v>
      </c>
      <c r="F825" s="7" t="n">
        <v>11891</v>
      </c>
      <c r="G825" s="7" t="n">
        <v>338</v>
      </c>
      <c r="H825" s="7" t="n">
        <v>121</v>
      </c>
      <c r="I825" s="7" t="n">
        <v>92</v>
      </c>
      <c r="J825" s="8" t="n">
        <v>4.63</v>
      </c>
      <c r="K825" s="9" t="n">
        <f aca="false">(G825+H825+I825)/E825</f>
        <v>0.0192758439741123</v>
      </c>
    </row>
    <row r="826" customFormat="false" ht="14.25" hidden="false" customHeight="true" outlineLevel="0" collapsed="false">
      <c r="A826" s="5" t="s">
        <v>850</v>
      </c>
      <c r="B826" s="5" t="s">
        <v>22</v>
      </c>
      <c r="C826" s="6" t="n">
        <v>45941</v>
      </c>
      <c r="D826" s="5" t="s">
        <v>23</v>
      </c>
      <c r="E826" s="7" t="n">
        <v>17663</v>
      </c>
      <c r="F826" s="7" t="n">
        <v>10699</v>
      </c>
      <c r="G826" s="7" t="n">
        <v>273</v>
      </c>
      <c r="H826" s="7" t="n">
        <v>17</v>
      </c>
      <c r="I826" s="7" t="n">
        <v>27</v>
      </c>
      <c r="J826" s="8" t="n">
        <v>2.96</v>
      </c>
      <c r="K826" s="9" t="n">
        <f aca="false">(G826+H826+I826)/E826</f>
        <v>0.0179471211006058</v>
      </c>
    </row>
    <row r="827" customFormat="false" ht="14.25" hidden="false" customHeight="true" outlineLevel="0" collapsed="false">
      <c r="A827" s="5" t="s">
        <v>851</v>
      </c>
      <c r="B827" s="5" t="s">
        <v>22</v>
      </c>
      <c r="C827" s="6" t="n">
        <v>45522</v>
      </c>
      <c r="D827" s="5" t="s">
        <v>15</v>
      </c>
      <c r="E827" s="7" t="n">
        <v>11481</v>
      </c>
      <c r="F827" s="7" t="n">
        <v>7128</v>
      </c>
      <c r="G827" s="7" t="n">
        <v>171</v>
      </c>
      <c r="H827" s="7" t="n">
        <v>35</v>
      </c>
      <c r="I827" s="7" t="n">
        <v>27</v>
      </c>
      <c r="J827" s="8" t="n">
        <v>3.27</v>
      </c>
      <c r="K827" s="9" t="n">
        <f aca="false">(G827+H827+I827)/E827</f>
        <v>0.0202943994425573</v>
      </c>
    </row>
    <row r="828" customFormat="false" ht="14.25" hidden="false" customHeight="true" outlineLevel="0" collapsed="false">
      <c r="A828" s="5" t="s">
        <v>852</v>
      </c>
      <c r="B828" s="5" t="s">
        <v>18</v>
      </c>
      <c r="C828" s="6" t="n">
        <v>45572</v>
      </c>
      <c r="D828" s="5" t="s">
        <v>26</v>
      </c>
      <c r="E828" s="7" t="n">
        <v>30075</v>
      </c>
      <c r="F828" s="7" t="n">
        <v>20915</v>
      </c>
      <c r="G828" s="7" t="n">
        <v>1601</v>
      </c>
      <c r="H828" s="7" t="n">
        <v>228</v>
      </c>
      <c r="I828" s="7" t="n">
        <v>62</v>
      </c>
      <c r="J828" s="8" t="n">
        <v>9.04</v>
      </c>
      <c r="K828" s="9" t="n">
        <f aca="false">(G828+H828+I828)/E828</f>
        <v>0.0628761429758936</v>
      </c>
    </row>
    <row r="829" customFormat="false" ht="14.25" hidden="false" customHeight="true" outlineLevel="0" collapsed="false">
      <c r="A829" s="5" t="s">
        <v>853</v>
      </c>
      <c r="B829" s="5" t="s">
        <v>14</v>
      </c>
      <c r="C829" s="6" t="n">
        <v>45543</v>
      </c>
      <c r="D829" s="5" t="s">
        <v>28</v>
      </c>
      <c r="E829" s="7" t="n">
        <v>43087</v>
      </c>
      <c r="F829" s="7" t="n">
        <v>29240</v>
      </c>
      <c r="G829" s="7" t="n">
        <v>851</v>
      </c>
      <c r="H829" s="7" t="n">
        <v>333</v>
      </c>
      <c r="I829" s="7" t="n">
        <v>640</v>
      </c>
      <c r="J829" s="8" t="n">
        <v>6.24</v>
      </c>
      <c r="K829" s="9" t="n">
        <f aca="false">(G829+H829+I829)/E829</f>
        <v>0.0423329542553438</v>
      </c>
    </row>
    <row r="830" customFormat="false" ht="14.25" hidden="false" customHeight="true" outlineLevel="0" collapsed="false">
      <c r="A830" s="5" t="s">
        <v>854</v>
      </c>
      <c r="B830" s="5" t="s">
        <v>22</v>
      </c>
      <c r="C830" s="6" t="n">
        <v>45923</v>
      </c>
      <c r="D830" s="5" t="s">
        <v>23</v>
      </c>
      <c r="E830" s="7" t="n">
        <v>14244</v>
      </c>
      <c r="F830" s="7" t="n">
        <v>12768</v>
      </c>
      <c r="G830" s="7" t="n">
        <v>231</v>
      </c>
      <c r="H830" s="7" t="n">
        <v>47</v>
      </c>
      <c r="I830" s="7" t="n">
        <v>94</v>
      </c>
      <c r="J830" s="8" t="n">
        <v>2.91</v>
      </c>
      <c r="K830" s="9" t="n">
        <f aca="false">(G830+H830+I830)/E830</f>
        <v>0.0261162594776748</v>
      </c>
    </row>
    <row r="831" customFormat="false" ht="14.25" hidden="false" customHeight="true" outlineLevel="0" collapsed="false">
      <c r="A831" s="5" t="s">
        <v>855</v>
      </c>
      <c r="B831" s="5" t="s">
        <v>33</v>
      </c>
      <c r="C831" s="6" t="n">
        <v>45618</v>
      </c>
      <c r="D831" s="5" t="s">
        <v>15</v>
      </c>
      <c r="E831" s="7" t="n">
        <v>18511</v>
      </c>
      <c r="F831" s="7" t="n">
        <v>13972</v>
      </c>
      <c r="G831" s="7" t="n">
        <v>643</v>
      </c>
      <c r="H831" s="7" t="n">
        <v>332</v>
      </c>
      <c r="I831" s="7" t="n">
        <v>103</v>
      </c>
      <c r="J831" s="8" t="n">
        <v>7.72</v>
      </c>
      <c r="K831" s="9" t="n">
        <f aca="false">(G831+H831+I831)/E831</f>
        <v>0.0582356436713306</v>
      </c>
    </row>
    <row r="832" customFormat="false" ht="14.25" hidden="false" customHeight="true" outlineLevel="0" collapsed="false">
      <c r="A832" s="5" t="s">
        <v>856</v>
      </c>
      <c r="B832" s="5" t="s">
        <v>22</v>
      </c>
      <c r="C832" s="6" t="n">
        <v>45759</v>
      </c>
      <c r="D832" s="5" t="s">
        <v>15</v>
      </c>
      <c r="E832" s="7" t="n">
        <v>12617</v>
      </c>
      <c r="F832" s="7" t="n">
        <v>9372</v>
      </c>
      <c r="G832" s="7" t="n">
        <v>155</v>
      </c>
      <c r="H832" s="7" t="n">
        <v>60</v>
      </c>
      <c r="I832" s="7" t="n">
        <v>36</v>
      </c>
      <c r="J832" s="8" t="n">
        <v>2.68</v>
      </c>
      <c r="K832" s="9" t="n">
        <f aca="false">(G832+H832+I832)/E832</f>
        <v>0.0198937940873425</v>
      </c>
    </row>
    <row r="833" customFormat="false" ht="14.25" hidden="false" customHeight="true" outlineLevel="0" collapsed="false">
      <c r="A833" s="5" t="s">
        <v>857</v>
      </c>
      <c r="B833" s="5" t="s">
        <v>25</v>
      </c>
      <c r="C833" s="6" t="n">
        <v>45436</v>
      </c>
      <c r="D833" s="5" t="s">
        <v>23</v>
      </c>
      <c r="E833" s="7" t="n">
        <v>152232</v>
      </c>
      <c r="F833" s="7" t="n">
        <v>90649</v>
      </c>
      <c r="G833" s="7" t="n">
        <v>5749</v>
      </c>
      <c r="H833" s="7" t="n">
        <v>496</v>
      </c>
      <c r="I833" s="7" t="n">
        <v>2756</v>
      </c>
      <c r="J833" s="8" t="n">
        <v>9.93</v>
      </c>
      <c r="K833" s="9" t="n">
        <f aca="false">(G833+H833+I833)/E833</f>
        <v>0.0591268590046771</v>
      </c>
    </row>
    <row r="834" customFormat="false" ht="14.25" hidden="false" customHeight="true" outlineLevel="0" collapsed="false">
      <c r="A834" s="5" t="s">
        <v>858</v>
      </c>
      <c r="B834" s="5" t="s">
        <v>14</v>
      </c>
      <c r="C834" s="6" t="n">
        <v>45501</v>
      </c>
      <c r="D834" s="5" t="s">
        <v>28</v>
      </c>
      <c r="E834" s="7" t="n">
        <v>8589</v>
      </c>
      <c r="F834" s="7" t="n">
        <v>3060</v>
      </c>
      <c r="G834" s="7" t="n">
        <v>83</v>
      </c>
      <c r="H834" s="7" t="n">
        <v>51</v>
      </c>
      <c r="I834" s="7" t="n">
        <v>49</v>
      </c>
      <c r="J834" s="8" t="n">
        <v>5.98</v>
      </c>
      <c r="K834" s="9" t="n">
        <f aca="false">(G834+H834+I834)/E834</f>
        <v>0.0213063220398184</v>
      </c>
    </row>
    <row r="835" customFormat="false" ht="14.25" hidden="false" customHeight="true" outlineLevel="0" collapsed="false">
      <c r="A835" s="5" t="s">
        <v>859</v>
      </c>
      <c r="B835" s="5" t="s">
        <v>14</v>
      </c>
      <c r="C835" s="6" t="n">
        <v>45698</v>
      </c>
      <c r="D835" s="5" t="s">
        <v>28</v>
      </c>
      <c r="E835" s="7" t="n">
        <v>6956</v>
      </c>
      <c r="F835" s="7" t="n">
        <v>4036</v>
      </c>
      <c r="G835" s="7" t="n">
        <v>176</v>
      </c>
      <c r="H835" s="7" t="n">
        <v>69</v>
      </c>
      <c r="I835" s="7" t="n">
        <v>55</v>
      </c>
      <c r="J835" s="8" t="n">
        <v>7.43</v>
      </c>
      <c r="K835" s="9" t="n">
        <f aca="false">(G835+H835+I835)/E835</f>
        <v>0.0431282346175963</v>
      </c>
    </row>
    <row r="836" customFormat="false" ht="14.25" hidden="false" customHeight="true" outlineLevel="0" collapsed="false">
      <c r="A836" s="5" t="s">
        <v>860</v>
      </c>
      <c r="B836" s="5" t="s">
        <v>14</v>
      </c>
      <c r="C836" s="6" t="n">
        <v>45747</v>
      </c>
      <c r="D836" s="5" t="s">
        <v>19</v>
      </c>
      <c r="E836" s="7" t="n">
        <v>16675</v>
      </c>
      <c r="F836" s="7" t="n">
        <v>5590</v>
      </c>
      <c r="G836" s="7" t="n">
        <v>138</v>
      </c>
      <c r="H836" s="7" t="n">
        <v>62</v>
      </c>
      <c r="I836" s="7" t="n">
        <v>118</v>
      </c>
      <c r="J836" s="8" t="n">
        <v>5.69</v>
      </c>
      <c r="K836" s="9" t="n">
        <f aca="false">(G836+H836+I836)/E836</f>
        <v>0.0190704647676162</v>
      </c>
    </row>
    <row r="837" customFormat="false" ht="14.25" hidden="false" customHeight="true" outlineLevel="0" collapsed="false">
      <c r="A837" s="5" t="s">
        <v>861</v>
      </c>
      <c r="B837" s="5" t="s">
        <v>33</v>
      </c>
      <c r="C837" s="6" t="n">
        <v>45414</v>
      </c>
      <c r="D837" s="5" t="s">
        <v>19</v>
      </c>
      <c r="E837" s="7" t="n">
        <v>2809</v>
      </c>
      <c r="F837" s="7" t="n">
        <v>1265</v>
      </c>
      <c r="G837" s="7" t="n">
        <v>28</v>
      </c>
      <c r="H837" s="7" t="n">
        <v>22</v>
      </c>
      <c r="I837" s="7" t="n">
        <v>17</v>
      </c>
      <c r="J837" s="8" t="n">
        <v>5.3</v>
      </c>
      <c r="K837" s="9" t="n">
        <f aca="false">(G837+H837+I837)/E837</f>
        <v>0.0238519045923816</v>
      </c>
    </row>
    <row r="838" customFormat="false" ht="14.25" hidden="false" customHeight="true" outlineLevel="0" collapsed="false">
      <c r="A838" s="5" t="s">
        <v>862</v>
      </c>
      <c r="B838" s="5" t="s">
        <v>18</v>
      </c>
      <c r="C838" s="6" t="n">
        <v>45638</v>
      </c>
      <c r="D838" s="5" t="s">
        <v>19</v>
      </c>
      <c r="E838" s="7" t="n">
        <v>11976</v>
      </c>
      <c r="F838" s="7" t="n">
        <v>7595</v>
      </c>
      <c r="G838" s="7" t="n">
        <v>348</v>
      </c>
      <c r="H838" s="7" t="n">
        <v>40</v>
      </c>
      <c r="I838" s="7" t="n">
        <v>9</v>
      </c>
      <c r="J838" s="8" t="n">
        <v>5.23</v>
      </c>
      <c r="K838" s="9" t="n">
        <f aca="false">(G838+H838+I838)/E838</f>
        <v>0.0331496325985304</v>
      </c>
    </row>
    <row r="839" customFormat="false" ht="14.25" hidden="false" customHeight="true" outlineLevel="0" collapsed="false">
      <c r="A839" s="5" t="s">
        <v>863</v>
      </c>
      <c r="B839" s="5" t="s">
        <v>14</v>
      </c>
      <c r="C839" s="6" t="n">
        <v>45630</v>
      </c>
      <c r="D839" s="5" t="s">
        <v>28</v>
      </c>
      <c r="E839" s="7" t="n">
        <v>50782</v>
      </c>
      <c r="F839" s="7" t="n">
        <v>24146</v>
      </c>
      <c r="G839" s="7" t="n">
        <v>541</v>
      </c>
      <c r="H839" s="7" t="n">
        <v>336</v>
      </c>
      <c r="I839" s="7" t="n">
        <v>541</v>
      </c>
      <c r="J839" s="8" t="n">
        <v>5.87</v>
      </c>
      <c r="K839" s="9" t="n">
        <f aca="false">(G839+H839+I839)/E839</f>
        <v>0.0279232799023276</v>
      </c>
    </row>
    <row r="840" customFormat="false" ht="14.25" hidden="false" customHeight="true" outlineLevel="0" collapsed="false">
      <c r="A840" s="5" t="s">
        <v>864</v>
      </c>
      <c r="B840" s="5" t="s">
        <v>18</v>
      </c>
      <c r="C840" s="6" t="n">
        <v>45938</v>
      </c>
      <c r="D840" s="5" t="s">
        <v>23</v>
      </c>
      <c r="E840" s="7" t="n">
        <v>83900</v>
      </c>
      <c r="F840" s="7" t="n">
        <v>49290</v>
      </c>
      <c r="G840" s="7" t="n">
        <v>3027</v>
      </c>
      <c r="H840" s="7" t="n">
        <v>520</v>
      </c>
      <c r="I840" s="7" t="n">
        <v>121</v>
      </c>
      <c r="J840" s="8" t="n">
        <v>7.44</v>
      </c>
      <c r="K840" s="9" t="n">
        <f aca="false">(G840+H840+I840)/E840</f>
        <v>0.0437187127532777</v>
      </c>
    </row>
    <row r="841" customFormat="false" ht="14.25" hidden="false" customHeight="true" outlineLevel="0" collapsed="false">
      <c r="A841" s="5" t="s">
        <v>865</v>
      </c>
      <c r="B841" s="5" t="s">
        <v>25</v>
      </c>
      <c r="C841" s="6" t="n">
        <v>45436</v>
      </c>
      <c r="D841" s="5" t="s">
        <v>26</v>
      </c>
      <c r="E841" s="7" t="n">
        <v>206094</v>
      </c>
      <c r="F841" s="7" t="n">
        <v>92209</v>
      </c>
      <c r="G841" s="7" t="n">
        <v>9894</v>
      </c>
      <c r="H841" s="7" t="n">
        <v>1277</v>
      </c>
      <c r="I841" s="7" t="n">
        <v>1266</v>
      </c>
      <c r="J841" s="8" t="n">
        <v>13.49</v>
      </c>
      <c r="K841" s="9" t="n">
        <f aca="false">(G841+H841+I841)/E841</f>
        <v>0.0603462497695226</v>
      </c>
    </row>
    <row r="842" customFormat="false" ht="14.25" hidden="false" customHeight="true" outlineLevel="0" collapsed="false">
      <c r="A842" s="5" t="s">
        <v>866</v>
      </c>
      <c r="B842" s="5" t="s">
        <v>18</v>
      </c>
      <c r="C842" s="6" t="n">
        <v>46003</v>
      </c>
      <c r="D842" s="5" t="s">
        <v>26</v>
      </c>
      <c r="E842" s="7" t="n">
        <v>76099</v>
      </c>
      <c r="F842" s="7" t="n">
        <v>59299</v>
      </c>
      <c r="G842" s="7" t="n">
        <v>1282</v>
      </c>
      <c r="H842" s="7" t="n">
        <v>597</v>
      </c>
      <c r="I842" s="7" t="n">
        <v>181</v>
      </c>
      <c r="J842" s="8" t="n">
        <v>3.47</v>
      </c>
      <c r="K842" s="9" t="n">
        <f aca="false">(G842+H842+I842)/E842</f>
        <v>0.0270700009198544</v>
      </c>
    </row>
    <row r="843" customFormat="false" ht="14.25" hidden="false" customHeight="true" outlineLevel="0" collapsed="false">
      <c r="A843" s="5" t="s">
        <v>867</v>
      </c>
      <c r="B843" s="5" t="s">
        <v>18</v>
      </c>
      <c r="C843" s="6" t="n">
        <v>45575</v>
      </c>
      <c r="D843" s="5" t="s">
        <v>26</v>
      </c>
      <c r="E843" s="7" t="n">
        <v>58336</v>
      </c>
      <c r="F843" s="7" t="n">
        <v>28891</v>
      </c>
      <c r="G843" s="7" t="n">
        <v>1609</v>
      </c>
      <c r="H843" s="7" t="n">
        <v>342</v>
      </c>
      <c r="I843" s="7" t="n">
        <v>138</v>
      </c>
      <c r="J843" s="8" t="n">
        <v>7.23</v>
      </c>
      <c r="K843" s="9" t="n">
        <f aca="false">(G843+H843+I843)/E843</f>
        <v>0.0358097915523862</v>
      </c>
    </row>
    <row r="844" customFormat="false" ht="14.25" hidden="false" customHeight="true" outlineLevel="0" collapsed="false">
      <c r="A844" s="5" t="s">
        <v>868</v>
      </c>
      <c r="B844" s="5" t="s">
        <v>14</v>
      </c>
      <c r="C844" s="6" t="n">
        <v>45294</v>
      </c>
      <c r="D844" s="5" t="s">
        <v>15</v>
      </c>
      <c r="E844" s="7" t="n">
        <v>10419</v>
      </c>
      <c r="F844" s="7" t="n">
        <v>5268</v>
      </c>
      <c r="G844" s="7" t="n">
        <v>95</v>
      </c>
      <c r="H844" s="7" t="n">
        <v>19</v>
      </c>
      <c r="I844" s="7" t="n">
        <v>98</v>
      </c>
      <c r="J844" s="8" t="n">
        <v>4.02</v>
      </c>
      <c r="K844" s="9" t="n">
        <f aca="false">(G844+H844+I844)/E844</f>
        <v>0.0203474421729533</v>
      </c>
    </row>
    <row r="845" customFormat="false" ht="14.25" hidden="false" customHeight="true" outlineLevel="0" collapsed="false">
      <c r="A845" s="5" t="s">
        <v>869</v>
      </c>
      <c r="B845" s="5" t="s">
        <v>25</v>
      </c>
      <c r="C845" s="6" t="n">
        <v>45525</v>
      </c>
      <c r="D845" s="5" t="s">
        <v>23</v>
      </c>
      <c r="E845" s="7" t="n">
        <v>397798</v>
      </c>
      <c r="F845" s="7" t="n">
        <v>251973</v>
      </c>
      <c r="G845" s="7" t="n">
        <v>21279</v>
      </c>
      <c r="H845" s="7" t="n">
        <v>7212</v>
      </c>
      <c r="I845" s="7" t="n">
        <v>6116</v>
      </c>
      <c r="J845" s="8" t="n">
        <v>13.73</v>
      </c>
      <c r="K845" s="9" t="n">
        <f aca="false">(G845+H845+I845)/E845</f>
        <v>0.0869964152660396</v>
      </c>
    </row>
    <row r="846" customFormat="false" ht="14.25" hidden="false" customHeight="true" outlineLevel="0" collapsed="false">
      <c r="A846" s="5" t="s">
        <v>870</v>
      </c>
      <c r="B846" s="5" t="s">
        <v>25</v>
      </c>
      <c r="C846" s="6" t="n">
        <v>45774</v>
      </c>
      <c r="D846" s="5" t="s">
        <v>26</v>
      </c>
      <c r="E846" s="7" t="n">
        <v>81633</v>
      </c>
      <c r="F846" s="7" t="n">
        <v>42498</v>
      </c>
      <c r="G846" s="7" t="n">
        <v>2362</v>
      </c>
      <c r="H846" s="7" t="n">
        <v>379</v>
      </c>
      <c r="I846" s="7" t="n">
        <v>842</v>
      </c>
      <c r="J846" s="8" t="n">
        <v>8.43</v>
      </c>
      <c r="K846" s="9" t="n">
        <f aca="false">(G846+H846+I846)/E846</f>
        <v>0.0438915634608553</v>
      </c>
    </row>
    <row r="847" customFormat="false" ht="14.25" hidden="false" customHeight="true" outlineLevel="0" collapsed="false">
      <c r="A847" s="5" t="s">
        <v>871</v>
      </c>
      <c r="B847" s="5" t="s">
        <v>18</v>
      </c>
      <c r="C847" s="6" t="n">
        <v>45787</v>
      </c>
      <c r="D847" s="5" t="s">
        <v>23</v>
      </c>
      <c r="E847" s="7" t="n">
        <v>114853</v>
      </c>
      <c r="F847" s="7" t="n">
        <v>90322</v>
      </c>
      <c r="G847" s="7" t="n">
        <v>7036</v>
      </c>
      <c r="H847" s="7" t="n">
        <v>1008</v>
      </c>
      <c r="I847" s="7" t="n">
        <v>460</v>
      </c>
      <c r="J847" s="8" t="n">
        <v>9.42</v>
      </c>
      <c r="K847" s="9" t="n">
        <f aca="false">(G847+H847+I847)/E847</f>
        <v>0.0740424716811925</v>
      </c>
    </row>
    <row r="848" customFormat="false" ht="14.25" hidden="false" customHeight="true" outlineLevel="0" collapsed="false">
      <c r="A848" s="5" t="s">
        <v>872</v>
      </c>
      <c r="B848" s="5" t="s">
        <v>25</v>
      </c>
      <c r="C848" s="6" t="n">
        <v>45668</v>
      </c>
      <c r="D848" s="5" t="s">
        <v>26</v>
      </c>
      <c r="E848" s="7" t="n">
        <v>101559</v>
      </c>
      <c r="F848" s="7" t="n">
        <v>37011</v>
      </c>
      <c r="G848" s="7" t="n">
        <v>1403</v>
      </c>
      <c r="H848" s="7" t="n">
        <v>866</v>
      </c>
      <c r="I848" s="7" t="n">
        <v>1702</v>
      </c>
      <c r="J848" s="8" t="n">
        <v>10.73</v>
      </c>
      <c r="K848" s="9" t="n">
        <f aca="false">(G848+H848+I848)/E848</f>
        <v>0.0391004243838557</v>
      </c>
    </row>
    <row r="849" customFormat="false" ht="14.25" hidden="false" customHeight="true" outlineLevel="0" collapsed="false">
      <c r="A849" s="5" t="s">
        <v>873</v>
      </c>
      <c r="B849" s="5" t="s">
        <v>33</v>
      </c>
      <c r="C849" s="6" t="n">
        <v>45531</v>
      </c>
      <c r="D849" s="5" t="s">
        <v>23</v>
      </c>
      <c r="E849" s="7" t="n">
        <v>52966</v>
      </c>
      <c r="F849" s="7" t="n">
        <v>33208</v>
      </c>
      <c r="G849" s="7" t="n">
        <v>1342</v>
      </c>
      <c r="H849" s="7" t="n">
        <v>314</v>
      </c>
      <c r="I849" s="7" t="n">
        <v>185</v>
      </c>
      <c r="J849" s="8" t="n">
        <v>5.54</v>
      </c>
      <c r="K849" s="9" t="n">
        <f aca="false">(G849+H849+I849)/E849</f>
        <v>0.0347581467356417</v>
      </c>
    </row>
    <row r="850" customFormat="false" ht="14.25" hidden="false" customHeight="true" outlineLevel="0" collapsed="false">
      <c r="A850" s="5" t="s">
        <v>874</v>
      </c>
      <c r="B850" s="5" t="s">
        <v>14</v>
      </c>
      <c r="C850" s="6" t="n">
        <v>45537</v>
      </c>
      <c r="D850" s="5" t="s">
        <v>28</v>
      </c>
      <c r="E850" s="7" t="n">
        <v>43373</v>
      </c>
      <c r="F850" s="7" t="n">
        <v>27936</v>
      </c>
      <c r="G850" s="7" t="n">
        <v>345</v>
      </c>
      <c r="H850" s="7" t="n">
        <v>509</v>
      </c>
      <c r="I850" s="7" t="n">
        <v>623</v>
      </c>
      <c r="J850" s="8" t="n">
        <v>5.29</v>
      </c>
      <c r="K850" s="9" t="n">
        <f aca="false">(G850+H850+I850)/E850</f>
        <v>0.0340534433864386</v>
      </c>
    </row>
    <row r="851" customFormat="false" ht="14.25" hidden="false" customHeight="true" outlineLevel="0" collapsed="false">
      <c r="A851" s="5" t="s">
        <v>875</v>
      </c>
      <c r="B851" s="5" t="s">
        <v>22</v>
      </c>
      <c r="C851" s="6" t="n">
        <v>45381</v>
      </c>
      <c r="D851" s="5" t="s">
        <v>19</v>
      </c>
      <c r="E851" s="7" t="n">
        <v>23924</v>
      </c>
      <c r="F851" s="7" t="n">
        <v>17276</v>
      </c>
      <c r="G851" s="7" t="n">
        <v>513</v>
      </c>
      <c r="H851" s="7" t="n">
        <v>82</v>
      </c>
      <c r="I851" s="7" t="n">
        <v>333</v>
      </c>
      <c r="J851" s="8" t="n">
        <v>5.37</v>
      </c>
      <c r="K851" s="9" t="n">
        <f aca="false">(G851+H851+I851)/E851</f>
        <v>0.0387895000835981</v>
      </c>
    </row>
    <row r="852" customFormat="false" ht="14.25" hidden="false" customHeight="true" outlineLevel="0" collapsed="false">
      <c r="A852" s="5" t="s">
        <v>876</v>
      </c>
      <c r="B852" s="5" t="s">
        <v>25</v>
      </c>
      <c r="C852" s="6" t="n">
        <v>45496</v>
      </c>
      <c r="D852" s="5" t="s">
        <v>23</v>
      </c>
      <c r="E852" s="7" t="n">
        <v>46459</v>
      </c>
      <c r="F852" s="7" t="n">
        <v>22156</v>
      </c>
      <c r="G852" s="7" t="n">
        <v>2313</v>
      </c>
      <c r="H852" s="7" t="n">
        <v>187</v>
      </c>
      <c r="I852" s="7" t="n">
        <v>1002</v>
      </c>
      <c r="J852" s="8" t="n">
        <v>15.81</v>
      </c>
      <c r="K852" s="9" t="n">
        <f aca="false">(G852+H852+I852)/E852</f>
        <v>0.0753782905357412</v>
      </c>
    </row>
    <row r="853" customFormat="false" ht="14.25" hidden="false" customHeight="true" outlineLevel="0" collapsed="false">
      <c r="A853" s="5" t="s">
        <v>877</v>
      </c>
      <c r="B853" s="5" t="s">
        <v>33</v>
      </c>
      <c r="C853" s="6" t="n">
        <v>45531</v>
      </c>
      <c r="D853" s="5" t="s">
        <v>19</v>
      </c>
      <c r="E853" s="7" t="n">
        <v>14787</v>
      </c>
      <c r="F853" s="7" t="n">
        <v>9920</v>
      </c>
      <c r="G853" s="7" t="n">
        <v>185</v>
      </c>
      <c r="H853" s="7" t="n">
        <v>122</v>
      </c>
      <c r="I853" s="7" t="n">
        <v>65</v>
      </c>
      <c r="J853" s="8" t="n">
        <v>3.75</v>
      </c>
      <c r="K853" s="9" t="n">
        <f aca="false">(G853+H853+I853)/E853</f>
        <v>0.0251572327044025</v>
      </c>
    </row>
    <row r="854" customFormat="false" ht="14.25" hidden="false" customHeight="true" outlineLevel="0" collapsed="false">
      <c r="A854" s="5" t="s">
        <v>878</v>
      </c>
      <c r="B854" s="5" t="s">
        <v>14</v>
      </c>
      <c r="C854" s="6" t="n">
        <v>45766</v>
      </c>
      <c r="D854" s="5" t="s">
        <v>23</v>
      </c>
      <c r="E854" s="7" t="n">
        <v>25391</v>
      </c>
      <c r="F854" s="7" t="n">
        <v>11521</v>
      </c>
      <c r="G854" s="7" t="n">
        <v>439</v>
      </c>
      <c r="H854" s="7" t="n">
        <v>87</v>
      </c>
      <c r="I854" s="7" t="n">
        <v>300</v>
      </c>
      <c r="J854" s="8" t="n">
        <v>7.17</v>
      </c>
      <c r="K854" s="9" t="n">
        <f aca="false">(G854+H854+I854)/E854</f>
        <v>0.0325312118467173</v>
      </c>
    </row>
    <row r="855" customFormat="false" ht="14.25" hidden="false" customHeight="true" outlineLevel="0" collapsed="false">
      <c r="A855" s="5" t="s">
        <v>879</v>
      </c>
      <c r="B855" s="5" t="s">
        <v>18</v>
      </c>
      <c r="C855" s="6" t="n">
        <v>45954</v>
      </c>
      <c r="D855" s="5" t="s">
        <v>26</v>
      </c>
      <c r="E855" s="7" t="n">
        <v>4011</v>
      </c>
      <c r="F855" s="7" t="n">
        <v>3061</v>
      </c>
      <c r="G855" s="7" t="n">
        <v>210</v>
      </c>
      <c r="H855" s="7" t="n">
        <v>42</v>
      </c>
      <c r="I855" s="7" t="n">
        <v>5</v>
      </c>
      <c r="J855" s="8" t="n">
        <v>8.4</v>
      </c>
      <c r="K855" s="9" t="n">
        <f aca="false">(G855+H855+I855)/E855</f>
        <v>0.0640737970580903</v>
      </c>
    </row>
    <row r="856" customFormat="false" ht="14.25" hidden="false" customHeight="true" outlineLevel="0" collapsed="false">
      <c r="A856" s="5" t="s">
        <v>880</v>
      </c>
      <c r="B856" s="5" t="s">
        <v>33</v>
      </c>
      <c r="C856" s="6" t="n">
        <v>45517</v>
      </c>
      <c r="D856" s="5" t="s">
        <v>23</v>
      </c>
      <c r="E856" s="7" t="n">
        <v>13250</v>
      </c>
      <c r="F856" s="7" t="n">
        <v>6561</v>
      </c>
      <c r="G856" s="7" t="n">
        <v>367</v>
      </c>
      <c r="H856" s="7" t="n">
        <v>79</v>
      </c>
      <c r="I856" s="7" t="n">
        <v>52</v>
      </c>
      <c r="J856" s="8" t="n">
        <v>7.59</v>
      </c>
      <c r="K856" s="9" t="n">
        <f aca="false">(G856+H856+I856)/E856</f>
        <v>0.0375849056603774</v>
      </c>
    </row>
    <row r="857" customFormat="false" ht="14.25" hidden="false" customHeight="true" outlineLevel="0" collapsed="false">
      <c r="A857" s="5" t="s">
        <v>881</v>
      </c>
      <c r="B857" s="5" t="s">
        <v>22</v>
      </c>
      <c r="C857" s="6" t="n">
        <v>45374</v>
      </c>
      <c r="D857" s="5" t="s">
        <v>19</v>
      </c>
      <c r="E857" s="7" t="n">
        <v>22087</v>
      </c>
      <c r="F857" s="7" t="n">
        <v>14182</v>
      </c>
      <c r="G857" s="7" t="n">
        <v>183</v>
      </c>
      <c r="H857" s="7" t="n">
        <v>108</v>
      </c>
      <c r="I857" s="7" t="n">
        <v>137</v>
      </c>
      <c r="J857" s="8" t="n">
        <v>3.02</v>
      </c>
      <c r="K857" s="9" t="n">
        <f aca="false">(G857+H857+I857)/E857</f>
        <v>0.0193779146104043</v>
      </c>
    </row>
    <row r="858" customFormat="false" ht="14.25" hidden="false" customHeight="true" outlineLevel="0" collapsed="false">
      <c r="A858" s="5" t="s">
        <v>882</v>
      </c>
      <c r="B858" s="5" t="s">
        <v>25</v>
      </c>
      <c r="C858" s="6" t="n">
        <v>45350</v>
      </c>
      <c r="D858" s="5" t="s">
        <v>23</v>
      </c>
      <c r="E858" s="7" t="n">
        <v>295436</v>
      </c>
      <c r="F858" s="7" t="n">
        <v>113806</v>
      </c>
      <c r="G858" s="7" t="n">
        <v>9040</v>
      </c>
      <c r="H858" s="7" t="n">
        <v>1908</v>
      </c>
      <c r="I858" s="7" t="n">
        <v>4719</v>
      </c>
      <c r="J858" s="8" t="n">
        <v>13.77</v>
      </c>
      <c r="K858" s="9" t="n">
        <f aca="false">(G858+H858+I858)/E858</f>
        <v>0.0530300978892214</v>
      </c>
    </row>
    <row r="859" customFormat="false" ht="14.25" hidden="false" customHeight="true" outlineLevel="0" collapsed="false">
      <c r="A859" s="5" t="s">
        <v>883</v>
      </c>
      <c r="B859" s="5" t="s">
        <v>25</v>
      </c>
      <c r="C859" s="6" t="n">
        <v>45662</v>
      </c>
      <c r="D859" s="5" t="s">
        <v>26</v>
      </c>
      <c r="E859" s="7" t="n">
        <v>52951</v>
      </c>
      <c r="F859" s="7" t="n">
        <v>16963</v>
      </c>
      <c r="G859" s="7" t="n">
        <v>1395</v>
      </c>
      <c r="H859" s="7" t="n">
        <v>404</v>
      </c>
      <c r="I859" s="7" t="n">
        <v>528</v>
      </c>
      <c r="J859" s="8" t="n">
        <v>13.72</v>
      </c>
      <c r="K859" s="9" t="n">
        <f aca="false">(G859+H859+I859)/E859</f>
        <v>0.0439462899661952</v>
      </c>
    </row>
    <row r="860" customFormat="false" ht="14.25" hidden="false" customHeight="true" outlineLevel="0" collapsed="false">
      <c r="A860" s="5" t="s">
        <v>884</v>
      </c>
      <c r="B860" s="5" t="s">
        <v>14</v>
      </c>
      <c r="C860" s="6" t="n">
        <v>45673</v>
      </c>
      <c r="D860" s="5" t="s">
        <v>15</v>
      </c>
      <c r="E860" s="7" t="n">
        <v>14623</v>
      </c>
      <c r="F860" s="7" t="n">
        <v>7165</v>
      </c>
      <c r="G860" s="7" t="n">
        <v>351</v>
      </c>
      <c r="H860" s="7" t="n">
        <v>46</v>
      </c>
      <c r="I860" s="7" t="n">
        <v>187</v>
      </c>
      <c r="J860" s="8" t="n">
        <v>8.15</v>
      </c>
      <c r="K860" s="9" t="n">
        <f aca="false">(G860+H860+I860)/E860</f>
        <v>0.0399370854133899</v>
      </c>
    </row>
    <row r="861" customFormat="false" ht="14.25" hidden="false" customHeight="true" outlineLevel="0" collapsed="false">
      <c r="A861" s="5" t="s">
        <v>885</v>
      </c>
      <c r="B861" s="5" t="s">
        <v>18</v>
      </c>
      <c r="C861" s="6" t="n">
        <v>45588</v>
      </c>
      <c r="D861" s="5" t="s">
        <v>28</v>
      </c>
      <c r="E861" s="7" t="n">
        <v>16904</v>
      </c>
      <c r="F861" s="7" t="n">
        <v>7010</v>
      </c>
      <c r="G861" s="7" t="n">
        <v>399</v>
      </c>
      <c r="H861" s="7" t="n">
        <v>85</v>
      </c>
      <c r="I861" s="7" t="n">
        <v>24</v>
      </c>
      <c r="J861" s="8" t="n">
        <v>7.25</v>
      </c>
      <c r="K861" s="9" t="n">
        <f aca="false">(G861+H861+I861)/E861</f>
        <v>0.0300520586843351</v>
      </c>
    </row>
    <row r="862" customFormat="false" ht="14.25" hidden="false" customHeight="true" outlineLevel="0" collapsed="false">
      <c r="A862" s="5" t="s">
        <v>886</v>
      </c>
      <c r="B862" s="5" t="s">
        <v>18</v>
      </c>
      <c r="C862" s="6" t="n">
        <v>45400</v>
      </c>
      <c r="D862" s="5" t="s">
        <v>23</v>
      </c>
      <c r="E862" s="7" t="n">
        <v>38223</v>
      </c>
      <c r="F862" s="7" t="n">
        <v>15515</v>
      </c>
      <c r="G862" s="7" t="n">
        <v>1141</v>
      </c>
      <c r="H862" s="7" t="n">
        <v>149</v>
      </c>
      <c r="I862" s="7" t="n">
        <v>128</v>
      </c>
      <c r="J862" s="8" t="n">
        <v>9.14</v>
      </c>
      <c r="K862" s="9" t="n">
        <f aca="false">(G862+H862+I862)/E862</f>
        <v>0.0370980823064647</v>
      </c>
    </row>
    <row r="863" customFormat="false" ht="14.25" hidden="false" customHeight="true" outlineLevel="0" collapsed="false">
      <c r="A863" s="5" t="s">
        <v>887</v>
      </c>
      <c r="B863" s="5" t="s">
        <v>18</v>
      </c>
      <c r="C863" s="6" t="n">
        <v>45624</v>
      </c>
      <c r="D863" s="5" t="s">
        <v>23</v>
      </c>
      <c r="E863" s="7" t="n">
        <v>33576</v>
      </c>
      <c r="F863" s="7" t="n">
        <v>20539</v>
      </c>
      <c r="G863" s="7" t="n">
        <v>1466</v>
      </c>
      <c r="H863" s="7" t="n">
        <v>253</v>
      </c>
      <c r="I863" s="7" t="n">
        <v>168</v>
      </c>
      <c r="J863" s="8" t="n">
        <v>9.19</v>
      </c>
      <c r="K863" s="9" t="n">
        <f aca="false">(G863+H863+I863)/E863</f>
        <v>0.0562008577555397</v>
      </c>
    </row>
    <row r="864" customFormat="false" ht="14.25" hidden="false" customHeight="true" outlineLevel="0" collapsed="false">
      <c r="A864" s="5" t="s">
        <v>888</v>
      </c>
      <c r="B864" s="5" t="s">
        <v>22</v>
      </c>
      <c r="C864" s="6" t="n">
        <v>45312</v>
      </c>
      <c r="D864" s="5" t="s">
        <v>19</v>
      </c>
      <c r="E864" s="7" t="n">
        <v>1717</v>
      </c>
      <c r="F864" s="7" t="n">
        <v>1264</v>
      </c>
      <c r="G864" s="7" t="n">
        <v>32</v>
      </c>
      <c r="H864" s="7" t="n">
        <v>5</v>
      </c>
      <c r="I864" s="7" t="n">
        <v>12</v>
      </c>
      <c r="J864" s="8" t="n">
        <v>3.88</v>
      </c>
      <c r="K864" s="9" t="n">
        <f aca="false">(G864+H864+I864)/E864</f>
        <v>0.0285381479324403</v>
      </c>
    </row>
    <row r="865" customFormat="false" ht="14.25" hidden="false" customHeight="true" outlineLevel="0" collapsed="false">
      <c r="A865" s="5" t="s">
        <v>889</v>
      </c>
      <c r="B865" s="5" t="s">
        <v>18</v>
      </c>
      <c r="C865" s="6" t="n">
        <v>45679</v>
      </c>
      <c r="D865" s="5" t="s">
        <v>28</v>
      </c>
      <c r="E865" s="7" t="n">
        <v>70846</v>
      </c>
      <c r="F865" s="7" t="n">
        <v>29721</v>
      </c>
      <c r="G865" s="7" t="n">
        <v>836</v>
      </c>
      <c r="H865" s="7" t="n">
        <v>407</v>
      </c>
      <c r="I865" s="7" t="n">
        <v>288</v>
      </c>
      <c r="J865" s="8" t="n">
        <v>5.15</v>
      </c>
      <c r="K865" s="9" t="n">
        <f aca="false">(G865+H865+I865)/E865</f>
        <v>0.0216102532253056</v>
      </c>
    </row>
    <row r="866" customFormat="false" ht="14.25" hidden="false" customHeight="true" outlineLevel="0" collapsed="false">
      <c r="A866" s="5" t="s">
        <v>890</v>
      </c>
      <c r="B866" s="5" t="s">
        <v>22</v>
      </c>
      <c r="C866" s="6" t="n">
        <v>45964</v>
      </c>
      <c r="D866" s="5" t="s">
        <v>19</v>
      </c>
      <c r="E866" s="7" t="n">
        <v>16001</v>
      </c>
      <c r="F866" s="7" t="n">
        <v>14045</v>
      </c>
      <c r="G866" s="7" t="n">
        <v>198</v>
      </c>
      <c r="H866" s="7" t="n">
        <v>60</v>
      </c>
      <c r="I866" s="7" t="n">
        <v>62</v>
      </c>
      <c r="J866" s="8" t="n">
        <v>2.28</v>
      </c>
      <c r="K866" s="9" t="n">
        <f aca="false">(G866+H866+I866)/E866</f>
        <v>0.0199987500781201</v>
      </c>
    </row>
    <row r="867" customFormat="false" ht="14.25" hidden="false" customHeight="true" outlineLevel="0" collapsed="false">
      <c r="A867" s="5" t="s">
        <v>891</v>
      </c>
      <c r="B867" s="5" t="s">
        <v>25</v>
      </c>
      <c r="C867" s="6" t="n">
        <v>45835</v>
      </c>
      <c r="D867" s="5" t="s">
        <v>23</v>
      </c>
      <c r="E867" s="7" t="n">
        <v>222413</v>
      </c>
      <c r="F867" s="7" t="n">
        <v>136652</v>
      </c>
      <c r="G867" s="7" t="n">
        <v>14940</v>
      </c>
      <c r="H867" s="7" t="n">
        <v>970</v>
      </c>
      <c r="I867" s="7" t="n">
        <v>2340</v>
      </c>
      <c r="J867" s="8" t="n">
        <v>13.36</v>
      </c>
      <c r="K867" s="9" t="n">
        <f aca="false">(G867+H867+I867)/E867</f>
        <v>0.0820545561635336</v>
      </c>
    </row>
    <row r="868" customFormat="false" ht="14.25" hidden="false" customHeight="true" outlineLevel="0" collapsed="false">
      <c r="A868" s="5" t="s">
        <v>892</v>
      </c>
      <c r="B868" s="5" t="s">
        <v>25</v>
      </c>
      <c r="C868" s="6" t="n">
        <v>45496</v>
      </c>
      <c r="D868" s="5" t="s">
        <v>23</v>
      </c>
      <c r="E868" s="7" t="n">
        <v>371354</v>
      </c>
      <c r="F868" s="7" t="n">
        <v>158284</v>
      </c>
      <c r="G868" s="7" t="n">
        <v>14566</v>
      </c>
      <c r="H868" s="7" t="n">
        <v>2207</v>
      </c>
      <c r="I868" s="7" t="n">
        <v>5270</v>
      </c>
      <c r="J868" s="8" t="n">
        <v>13.93</v>
      </c>
      <c r="K868" s="9" t="n">
        <f aca="false">(G868+H868+I868)/E868</f>
        <v>0.0593584558130517</v>
      </c>
    </row>
    <row r="869" customFormat="false" ht="14.25" hidden="false" customHeight="true" outlineLevel="0" collapsed="false">
      <c r="A869" s="5" t="s">
        <v>893</v>
      </c>
      <c r="B869" s="5" t="s">
        <v>22</v>
      </c>
      <c r="C869" s="6" t="n">
        <v>45603</v>
      </c>
      <c r="D869" s="5" t="s">
        <v>19</v>
      </c>
      <c r="E869" s="7" t="n">
        <v>19988</v>
      </c>
      <c r="F869" s="7" t="n">
        <v>11201</v>
      </c>
      <c r="G869" s="7" t="n">
        <v>120</v>
      </c>
      <c r="H869" s="7" t="n">
        <v>83</v>
      </c>
      <c r="I869" s="7" t="n">
        <v>116</v>
      </c>
      <c r="J869" s="8" t="n">
        <v>2.85</v>
      </c>
      <c r="K869" s="9" t="n">
        <f aca="false">(G869+H869+I869)/E869</f>
        <v>0.0159595757454473</v>
      </c>
    </row>
    <row r="870" customFormat="false" ht="14.25" hidden="false" customHeight="true" outlineLevel="0" collapsed="false">
      <c r="A870" s="5" t="s">
        <v>894</v>
      </c>
      <c r="B870" s="5" t="s">
        <v>22</v>
      </c>
      <c r="C870" s="6" t="n">
        <v>45791</v>
      </c>
      <c r="D870" s="5" t="s">
        <v>19</v>
      </c>
      <c r="E870" s="7" t="n">
        <v>2183</v>
      </c>
      <c r="F870" s="7" t="n">
        <v>1582</v>
      </c>
      <c r="G870" s="7" t="n">
        <v>9</v>
      </c>
      <c r="H870" s="7" t="n">
        <v>3</v>
      </c>
      <c r="I870" s="7" t="n">
        <v>22</v>
      </c>
      <c r="J870" s="8" t="n">
        <v>2.15</v>
      </c>
      <c r="K870" s="9" t="n">
        <f aca="false">(G870+H870+I870)/E870</f>
        <v>0.0155748969308291</v>
      </c>
    </row>
    <row r="871" customFormat="false" ht="14.25" hidden="false" customHeight="true" outlineLevel="0" collapsed="false">
      <c r="A871" s="5" t="s">
        <v>895</v>
      </c>
      <c r="B871" s="5" t="s">
        <v>25</v>
      </c>
      <c r="C871" s="6" t="n">
        <v>45847</v>
      </c>
      <c r="D871" s="5" t="s">
        <v>23</v>
      </c>
      <c r="E871" s="7" t="n">
        <v>447455</v>
      </c>
      <c r="F871" s="7" t="n">
        <v>248265</v>
      </c>
      <c r="G871" s="7" t="n">
        <v>27946</v>
      </c>
      <c r="H871" s="7" t="n">
        <v>2847</v>
      </c>
      <c r="I871" s="7" t="n">
        <v>2710</v>
      </c>
      <c r="J871" s="8" t="n">
        <v>13.49</v>
      </c>
      <c r="K871" s="9" t="n">
        <f aca="false">(G871+H871+I871)/E871</f>
        <v>0.0748745683923523</v>
      </c>
    </row>
    <row r="872" customFormat="false" ht="14.25" hidden="false" customHeight="true" outlineLevel="0" collapsed="false">
      <c r="A872" s="5" t="s">
        <v>896</v>
      </c>
      <c r="B872" s="5" t="s">
        <v>25</v>
      </c>
      <c r="C872" s="6" t="n">
        <v>45979</v>
      </c>
      <c r="D872" s="5" t="s">
        <v>26</v>
      </c>
      <c r="E872" s="7" t="n">
        <v>375754</v>
      </c>
      <c r="F872" s="7" t="n">
        <v>180192</v>
      </c>
      <c r="G872" s="7" t="n">
        <v>20777</v>
      </c>
      <c r="H872" s="7" t="n">
        <v>4687</v>
      </c>
      <c r="I872" s="7" t="n">
        <v>7363</v>
      </c>
      <c r="J872" s="8" t="n">
        <v>18.22</v>
      </c>
      <c r="K872" s="9" t="n">
        <f aca="false">(G872+H872+I872)/E872</f>
        <v>0.087363008777019</v>
      </c>
    </row>
    <row r="873" customFormat="false" ht="14.25" hidden="false" customHeight="true" outlineLevel="0" collapsed="false">
      <c r="A873" s="5" t="s">
        <v>897</v>
      </c>
      <c r="B873" s="5" t="s">
        <v>22</v>
      </c>
      <c r="C873" s="6" t="n">
        <v>45438</v>
      </c>
      <c r="D873" s="5" t="s">
        <v>23</v>
      </c>
      <c r="E873" s="7" t="n">
        <v>58711</v>
      </c>
      <c r="F873" s="7" t="n">
        <v>51306</v>
      </c>
      <c r="G873" s="7" t="n">
        <v>1211</v>
      </c>
      <c r="H873" s="7" t="n">
        <v>398</v>
      </c>
      <c r="I873" s="7" t="n">
        <v>675</v>
      </c>
      <c r="J873" s="8" t="n">
        <v>4.45</v>
      </c>
      <c r="K873" s="9" t="n">
        <f aca="false">(G873+H873+I873)/E873</f>
        <v>0.0389024203300915</v>
      </c>
    </row>
    <row r="874" customFormat="false" ht="14.25" hidden="false" customHeight="true" outlineLevel="0" collapsed="false">
      <c r="A874" s="5" t="s">
        <v>898</v>
      </c>
      <c r="B874" s="5" t="s">
        <v>25</v>
      </c>
      <c r="C874" s="6" t="n">
        <v>45578</v>
      </c>
      <c r="D874" s="5" t="s">
        <v>26</v>
      </c>
      <c r="E874" s="7" t="n">
        <v>315347</v>
      </c>
      <c r="F874" s="7" t="n">
        <v>113639</v>
      </c>
      <c r="G874" s="7" t="n">
        <v>11492</v>
      </c>
      <c r="H874" s="7" t="n">
        <v>2613</v>
      </c>
      <c r="I874" s="7" t="n">
        <v>5573</v>
      </c>
      <c r="J874" s="8" t="n">
        <v>17.32</v>
      </c>
      <c r="K874" s="9" t="n">
        <f aca="false">(G874+H874+I874)/E874</f>
        <v>0.0624011010093643</v>
      </c>
    </row>
    <row r="875" customFormat="false" ht="14.25" hidden="false" customHeight="true" outlineLevel="0" collapsed="false">
      <c r="A875" s="5" t="s">
        <v>899</v>
      </c>
      <c r="B875" s="5" t="s">
        <v>22</v>
      </c>
      <c r="C875" s="6" t="n">
        <v>45735</v>
      </c>
      <c r="D875" s="5" t="s">
        <v>15</v>
      </c>
      <c r="E875" s="7" t="n">
        <v>976</v>
      </c>
      <c r="F875" s="7" t="n">
        <v>644</v>
      </c>
      <c r="G875" s="7" t="n">
        <v>16</v>
      </c>
      <c r="H875" s="7" t="n">
        <v>2</v>
      </c>
      <c r="I875" s="7" t="n">
        <v>10</v>
      </c>
      <c r="J875" s="8" t="n">
        <v>4.35</v>
      </c>
      <c r="K875" s="9" t="n">
        <f aca="false">(G875+H875+I875)/E875</f>
        <v>0.0286885245901639</v>
      </c>
    </row>
    <row r="876" customFormat="false" ht="14.25" hidden="false" customHeight="true" outlineLevel="0" collapsed="false">
      <c r="A876" s="5" t="s">
        <v>900</v>
      </c>
      <c r="B876" s="5" t="s">
        <v>14</v>
      </c>
      <c r="C876" s="6" t="n">
        <v>45575</v>
      </c>
      <c r="D876" s="5" t="s">
        <v>28</v>
      </c>
      <c r="E876" s="7" t="n">
        <v>19264</v>
      </c>
      <c r="F876" s="7" t="n">
        <v>12632</v>
      </c>
      <c r="G876" s="7" t="n">
        <v>157</v>
      </c>
      <c r="H876" s="7" t="n">
        <v>39</v>
      </c>
      <c r="I876" s="7" t="n">
        <v>129</v>
      </c>
      <c r="J876" s="8" t="n">
        <v>2.57</v>
      </c>
      <c r="K876" s="9" t="n">
        <f aca="false">(G876+H876+I876)/E876</f>
        <v>0.0168708471760797</v>
      </c>
    </row>
    <row r="877" customFormat="false" ht="14.25" hidden="false" customHeight="true" outlineLevel="0" collapsed="false">
      <c r="A877" s="5" t="s">
        <v>901</v>
      </c>
      <c r="B877" s="5" t="s">
        <v>25</v>
      </c>
      <c r="C877" s="6" t="n">
        <v>45455</v>
      </c>
      <c r="D877" s="5" t="s">
        <v>23</v>
      </c>
      <c r="E877" s="7" t="n">
        <v>476942</v>
      </c>
      <c r="F877" s="7" t="n">
        <v>275182</v>
      </c>
      <c r="G877" s="7" t="n">
        <v>17135</v>
      </c>
      <c r="H877" s="7" t="n">
        <v>3065</v>
      </c>
      <c r="I877" s="7" t="n">
        <v>3541</v>
      </c>
      <c r="J877" s="8" t="n">
        <v>8.63</v>
      </c>
      <c r="K877" s="9" t="n">
        <f aca="false">(G877+H877+I877)/E877</f>
        <v>0.0497775410846602</v>
      </c>
    </row>
    <row r="878" customFormat="false" ht="14.25" hidden="false" customHeight="true" outlineLevel="0" collapsed="false">
      <c r="A878" s="5" t="s">
        <v>902</v>
      </c>
      <c r="B878" s="5" t="s">
        <v>14</v>
      </c>
      <c r="C878" s="6" t="n">
        <v>45572</v>
      </c>
      <c r="D878" s="5" t="s">
        <v>19</v>
      </c>
      <c r="E878" s="7" t="n">
        <v>13582</v>
      </c>
      <c r="F878" s="7" t="n">
        <v>5738</v>
      </c>
      <c r="G878" s="7" t="n">
        <v>57</v>
      </c>
      <c r="H878" s="7" t="n">
        <v>49</v>
      </c>
      <c r="I878" s="7" t="n">
        <v>115</v>
      </c>
      <c r="J878" s="8" t="n">
        <v>3.85</v>
      </c>
      <c r="K878" s="9" t="n">
        <f aca="false">(G878+H878+I878)/E878</f>
        <v>0.0162715358562804</v>
      </c>
    </row>
    <row r="879" customFormat="false" ht="14.25" hidden="false" customHeight="true" outlineLevel="0" collapsed="false">
      <c r="A879" s="5" t="s">
        <v>903</v>
      </c>
      <c r="B879" s="5" t="s">
        <v>14</v>
      </c>
      <c r="C879" s="6" t="n">
        <v>45752</v>
      </c>
      <c r="D879" s="5" t="s">
        <v>23</v>
      </c>
      <c r="E879" s="7" t="n">
        <v>28843</v>
      </c>
      <c r="F879" s="7" t="n">
        <v>19168</v>
      </c>
      <c r="G879" s="7" t="n">
        <v>698</v>
      </c>
      <c r="H879" s="7" t="n">
        <v>117</v>
      </c>
      <c r="I879" s="7" t="n">
        <v>149</v>
      </c>
      <c r="J879" s="8" t="n">
        <v>5.03</v>
      </c>
      <c r="K879" s="9" t="n">
        <f aca="false">(G879+H879+I879)/E879</f>
        <v>0.0334223208404119</v>
      </c>
    </row>
    <row r="880" customFormat="false" ht="14.25" hidden="false" customHeight="true" outlineLevel="0" collapsed="false">
      <c r="A880" s="5" t="s">
        <v>904</v>
      </c>
      <c r="B880" s="5" t="s">
        <v>14</v>
      </c>
      <c r="C880" s="6" t="n">
        <v>45510</v>
      </c>
      <c r="D880" s="5" t="s">
        <v>15</v>
      </c>
      <c r="E880" s="7" t="n">
        <v>29866</v>
      </c>
      <c r="F880" s="7" t="n">
        <v>13649</v>
      </c>
      <c r="G880" s="7" t="n">
        <v>310</v>
      </c>
      <c r="H880" s="7" t="n">
        <v>230</v>
      </c>
      <c r="I880" s="7" t="n">
        <v>392</v>
      </c>
      <c r="J880" s="8" t="n">
        <v>6.83</v>
      </c>
      <c r="K880" s="9" t="n">
        <f aca="false">(G880+H880+I880)/E880</f>
        <v>0.031206053706556</v>
      </c>
    </row>
    <row r="881" customFormat="false" ht="14.25" hidden="false" customHeight="true" outlineLevel="0" collapsed="false">
      <c r="A881" s="5" t="s">
        <v>905</v>
      </c>
      <c r="B881" s="5" t="s">
        <v>14</v>
      </c>
      <c r="C881" s="6" t="n">
        <v>46019</v>
      </c>
      <c r="D881" s="5" t="s">
        <v>28</v>
      </c>
      <c r="E881" s="7" t="n">
        <v>29825</v>
      </c>
      <c r="F881" s="7" t="n">
        <v>16209</v>
      </c>
      <c r="G881" s="7" t="n">
        <v>256</v>
      </c>
      <c r="H881" s="7" t="n">
        <v>164</v>
      </c>
      <c r="I881" s="7" t="n">
        <v>252</v>
      </c>
      <c r="J881" s="8" t="n">
        <v>4.15</v>
      </c>
      <c r="K881" s="9" t="n">
        <f aca="false">(G881+H881+I881)/E881</f>
        <v>0.0225314333612741</v>
      </c>
    </row>
    <row r="882" customFormat="false" ht="14.25" hidden="false" customHeight="true" outlineLevel="0" collapsed="false">
      <c r="A882" s="5" t="s">
        <v>906</v>
      </c>
      <c r="B882" s="5" t="s">
        <v>18</v>
      </c>
      <c r="C882" s="6" t="n">
        <v>45552</v>
      </c>
      <c r="D882" s="5" t="s">
        <v>26</v>
      </c>
      <c r="E882" s="7" t="n">
        <v>22627</v>
      </c>
      <c r="F882" s="7" t="n">
        <v>12566</v>
      </c>
      <c r="G882" s="7" t="n">
        <v>267</v>
      </c>
      <c r="H882" s="7" t="n">
        <v>57</v>
      </c>
      <c r="I882" s="7" t="n">
        <v>43</v>
      </c>
      <c r="J882" s="8" t="n">
        <v>2.92</v>
      </c>
      <c r="K882" s="9" t="n">
        <f aca="false">(G882+H882+I882)/E882</f>
        <v>0.0162195607018164</v>
      </c>
    </row>
    <row r="883" customFormat="false" ht="14.25" hidden="false" customHeight="true" outlineLevel="0" collapsed="false">
      <c r="A883" s="5" t="s">
        <v>907</v>
      </c>
      <c r="B883" s="5" t="s">
        <v>22</v>
      </c>
      <c r="C883" s="6" t="n">
        <v>45477</v>
      </c>
      <c r="D883" s="5" t="s">
        <v>19</v>
      </c>
      <c r="E883" s="7" t="n">
        <v>3548</v>
      </c>
      <c r="F883" s="7" t="n">
        <v>2994</v>
      </c>
      <c r="G883" s="7" t="n">
        <v>78</v>
      </c>
      <c r="H883" s="7" t="n">
        <v>14</v>
      </c>
      <c r="I883" s="7" t="n">
        <v>14</v>
      </c>
      <c r="J883" s="8" t="n">
        <v>3.54</v>
      </c>
      <c r="K883" s="9" t="n">
        <f aca="false">(G883+H883+I883)/E883</f>
        <v>0.0298759864712514</v>
      </c>
    </row>
    <row r="884" customFormat="false" ht="14.25" hidden="false" customHeight="true" outlineLevel="0" collapsed="false">
      <c r="A884" s="5" t="s">
        <v>908</v>
      </c>
      <c r="B884" s="5" t="s">
        <v>18</v>
      </c>
      <c r="C884" s="6" t="n">
        <v>45794</v>
      </c>
      <c r="D884" s="5" t="s">
        <v>19</v>
      </c>
      <c r="E884" s="7" t="n">
        <v>25939</v>
      </c>
      <c r="F884" s="7" t="n">
        <v>10890</v>
      </c>
      <c r="G884" s="7" t="n">
        <v>633</v>
      </c>
      <c r="H884" s="7" t="n">
        <v>43</v>
      </c>
      <c r="I884" s="7" t="n">
        <v>71</v>
      </c>
      <c r="J884" s="8" t="n">
        <v>6.86</v>
      </c>
      <c r="K884" s="9" t="n">
        <f aca="false">(G884+H884+I884)/E884</f>
        <v>0.0287983345541463</v>
      </c>
    </row>
    <row r="885" customFormat="false" ht="14.25" hidden="false" customHeight="true" outlineLevel="0" collapsed="false">
      <c r="A885" s="5" t="s">
        <v>909</v>
      </c>
      <c r="B885" s="5" t="s">
        <v>14</v>
      </c>
      <c r="C885" s="6" t="n">
        <v>45496</v>
      </c>
      <c r="D885" s="5" t="s">
        <v>15</v>
      </c>
      <c r="E885" s="7" t="n">
        <v>5443</v>
      </c>
      <c r="F885" s="7" t="n">
        <v>2215</v>
      </c>
      <c r="G885" s="7" t="n">
        <v>30</v>
      </c>
      <c r="H885" s="7" t="n">
        <v>39</v>
      </c>
      <c r="I885" s="7" t="n">
        <v>54</v>
      </c>
      <c r="J885" s="8" t="n">
        <v>5.55</v>
      </c>
      <c r="K885" s="9" t="n">
        <f aca="false">(G885+H885+I885)/E885</f>
        <v>0.0225978320778982</v>
      </c>
    </row>
    <row r="886" customFormat="false" ht="14.25" hidden="false" customHeight="true" outlineLevel="0" collapsed="false">
      <c r="A886" s="5" t="s">
        <v>910</v>
      </c>
      <c r="B886" s="5" t="s">
        <v>18</v>
      </c>
      <c r="C886" s="6" t="n">
        <v>45672</v>
      </c>
      <c r="D886" s="5" t="s">
        <v>23</v>
      </c>
      <c r="E886" s="7" t="n">
        <v>66171</v>
      </c>
      <c r="F886" s="7" t="n">
        <v>42597</v>
      </c>
      <c r="G886" s="7" t="n">
        <v>2477</v>
      </c>
      <c r="H886" s="7" t="n">
        <v>500</v>
      </c>
      <c r="I886" s="7" t="n">
        <v>76</v>
      </c>
      <c r="J886" s="8" t="n">
        <v>7.17</v>
      </c>
      <c r="K886" s="9" t="n">
        <f aca="false">(G886+H886+I886)/E886</f>
        <v>0.0461380362998897</v>
      </c>
    </row>
    <row r="887" customFormat="false" ht="14.25" hidden="false" customHeight="true" outlineLevel="0" collapsed="false">
      <c r="A887" s="5" t="s">
        <v>911</v>
      </c>
      <c r="B887" s="5" t="s">
        <v>14</v>
      </c>
      <c r="C887" s="6" t="n">
        <v>45577</v>
      </c>
      <c r="D887" s="5" t="s">
        <v>23</v>
      </c>
      <c r="E887" s="7" t="n">
        <v>16428</v>
      </c>
      <c r="F887" s="7" t="n">
        <v>5621</v>
      </c>
      <c r="G887" s="7" t="n">
        <v>56</v>
      </c>
      <c r="H887" s="7" t="n">
        <v>78</v>
      </c>
      <c r="I887" s="7" t="n">
        <v>39</v>
      </c>
      <c r="J887" s="8" t="n">
        <v>3.08</v>
      </c>
      <c r="K887" s="9" t="n">
        <f aca="false">(G887+H887+I887)/E887</f>
        <v>0.0105308010713416</v>
      </c>
    </row>
    <row r="888" customFormat="false" ht="14.25" hidden="false" customHeight="true" outlineLevel="0" collapsed="false">
      <c r="A888" s="5" t="s">
        <v>912</v>
      </c>
      <c r="B888" s="5" t="s">
        <v>18</v>
      </c>
      <c r="C888" s="6" t="n">
        <v>45804</v>
      </c>
      <c r="D888" s="5" t="s">
        <v>28</v>
      </c>
      <c r="E888" s="7" t="n">
        <v>33748</v>
      </c>
      <c r="F888" s="7" t="n">
        <v>20652</v>
      </c>
      <c r="G888" s="7" t="n">
        <v>1454</v>
      </c>
      <c r="H888" s="7" t="n">
        <v>46</v>
      </c>
      <c r="I888" s="7" t="n">
        <v>194</v>
      </c>
      <c r="J888" s="8" t="n">
        <v>8.2</v>
      </c>
      <c r="K888" s="9" t="n">
        <f aca="false">(G888+H888+I888)/E888</f>
        <v>0.0501955671447197</v>
      </c>
    </row>
    <row r="889" customFormat="false" ht="14.25" hidden="false" customHeight="true" outlineLevel="0" collapsed="false">
      <c r="A889" s="5" t="s">
        <v>913</v>
      </c>
      <c r="B889" s="5" t="s">
        <v>25</v>
      </c>
      <c r="C889" s="6" t="n">
        <v>45657</v>
      </c>
      <c r="D889" s="5" t="s">
        <v>26</v>
      </c>
      <c r="E889" s="7" t="n">
        <v>257884</v>
      </c>
      <c r="F889" s="7" t="n">
        <v>169444</v>
      </c>
      <c r="G889" s="7" t="n">
        <v>13273</v>
      </c>
      <c r="H889" s="7" t="n">
        <v>3292</v>
      </c>
      <c r="I889" s="7" t="n">
        <v>3944</v>
      </c>
      <c r="J889" s="8" t="n">
        <v>12.1</v>
      </c>
      <c r="K889" s="9" t="n">
        <f aca="false">(G889+H889+I889)/E889</f>
        <v>0.0795280048393851</v>
      </c>
    </row>
    <row r="890" customFormat="false" ht="14.25" hidden="false" customHeight="true" outlineLevel="0" collapsed="false">
      <c r="A890" s="5" t="s">
        <v>914</v>
      </c>
      <c r="B890" s="5" t="s">
        <v>18</v>
      </c>
      <c r="C890" s="6" t="n">
        <v>45417</v>
      </c>
      <c r="D890" s="5" t="s">
        <v>28</v>
      </c>
      <c r="E890" s="7" t="n">
        <v>45413</v>
      </c>
      <c r="F890" s="7" t="n">
        <v>34207</v>
      </c>
      <c r="G890" s="7" t="n">
        <v>802</v>
      </c>
      <c r="H890" s="7" t="n">
        <v>100</v>
      </c>
      <c r="I890" s="7" t="n">
        <v>178</v>
      </c>
      <c r="J890" s="8" t="n">
        <v>3.16</v>
      </c>
      <c r="K890" s="9" t="n">
        <f aca="false">(G890+H890+I890)/E890</f>
        <v>0.0237817365071676</v>
      </c>
    </row>
    <row r="891" customFormat="false" ht="14.25" hidden="false" customHeight="true" outlineLevel="0" collapsed="false">
      <c r="A891" s="5" t="s">
        <v>915</v>
      </c>
      <c r="B891" s="5" t="s">
        <v>22</v>
      </c>
      <c r="C891" s="6" t="n">
        <v>45442</v>
      </c>
      <c r="D891" s="5" t="s">
        <v>15</v>
      </c>
      <c r="E891" s="7" t="n">
        <v>1754</v>
      </c>
      <c r="F891" s="7" t="n">
        <v>1371</v>
      </c>
      <c r="G891" s="7" t="n">
        <v>25</v>
      </c>
      <c r="H891" s="7" t="n">
        <v>6</v>
      </c>
      <c r="I891" s="7" t="n">
        <v>6</v>
      </c>
      <c r="J891" s="8" t="n">
        <v>2.7</v>
      </c>
      <c r="K891" s="9" t="n">
        <f aca="false">(G891+H891+I891)/E891</f>
        <v>0.0210946408209806</v>
      </c>
    </row>
    <row r="892" customFormat="false" ht="14.25" hidden="false" customHeight="true" outlineLevel="0" collapsed="false">
      <c r="A892" s="5" t="s">
        <v>916</v>
      </c>
      <c r="B892" s="5" t="s">
        <v>22</v>
      </c>
      <c r="C892" s="6" t="n">
        <v>45984</v>
      </c>
      <c r="D892" s="5" t="s">
        <v>19</v>
      </c>
      <c r="E892" s="7" t="n">
        <v>276</v>
      </c>
      <c r="F892" s="7" t="n">
        <v>248</v>
      </c>
      <c r="G892" s="7" t="n">
        <v>5</v>
      </c>
      <c r="H892" s="7" t="n">
        <v>1</v>
      </c>
      <c r="I892" s="7" t="n">
        <v>2</v>
      </c>
      <c r="J892" s="8" t="n">
        <v>3.23</v>
      </c>
      <c r="K892" s="9" t="n">
        <f aca="false">(G892+H892+I892)/E892</f>
        <v>0.0289855072463768</v>
      </c>
    </row>
    <row r="893" customFormat="false" ht="14.25" hidden="false" customHeight="true" outlineLevel="0" collapsed="false">
      <c r="A893" s="5" t="s">
        <v>917</v>
      </c>
      <c r="B893" s="5" t="s">
        <v>14</v>
      </c>
      <c r="C893" s="6" t="n">
        <v>45579</v>
      </c>
      <c r="D893" s="5" t="s">
        <v>28</v>
      </c>
      <c r="E893" s="7" t="n">
        <v>15505</v>
      </c>
      <c r="F893" s="7" t="n">
        <v>6664</v>
      </c>
      <c r="G893" s="7" t="n">
        <v>145</v>
      </c>
      <c r="H893" s="7" t="n">
        <v>27</v>
      </c>
      <c r="I893" s="7" t="n">
        <v>145</v>
      </c>
      <c r="J893" s="8" t="n">
        <v>4.76</v>
      </c>
      <c r="K893" s="9" t="n">
        <f aca="false">(G893+H893+I893)/E893</f>
        <v>0.0204450177362141</v>
      </c>
    </row>
    <row r="894" customFormat="false" ht="14.25" hidden="false" customHeight="true" outlineLevel="0" collapsed="false">
      <c r="A894" s="5" t="s">
        <v>918</v>
      </c>
      <c r="B894" s="5" t="s">
        <v>22</v>
      </c>
      <c r="C894" s="6" t="n">
        <v>45595</v>
      </c>
      <c r="D894" s="5" t="s">
        <v>23</v>
      </c>
      <c r="E894" s="7" t="n">
        <v>14933</v>
      </c>
      <c r="F894" s="7" t="n">
        <v>8845</v>
      </c>
      <c r="G894" s="7" t="n">
        <v>112</v>
      </c>
      <c r="H894" s="7" t="n">
        <v>44</v>
      </c>
      <c r="I894" s="7" t="n">
        <v>68</v>
      </c>
      <c r="J894" s="8" t="n">
        <v>2.53</v>
      </c>
      <c r="K894" s="9" t="n">
        <f aca="false">(G894+H894+I894)/E894</f>
        <v>0.0150003348289024</v>
      </c>
    </row>
    <row r="895" customFormat="false" ht="14.25" hidden="false" customHeight="true" outlineLevel="0" collapsed="false">
      <c r="A895" s="5" t="s">
        <v>919</v>
      </c>
      <c r="B895" s="5" t="s">
        <v>25</v>
      </c>
      <c r="C895" s="6" t="n">
        <v>45889</v>
      </c>
      <c r="D895" s="5" t="s">
        <v>26</v>
      </c>
      <c r="E895" s="7" t="n">
        <v>81936</v>
      </c>
      <c r="F895" s="7" t="n">
        <v>52909</v>
      </c>
      <c r="G895" s="7" t="n">
        <v>2978</v>
      </c>
      <c r="H895" s="7" t="n">
        <v>740</v>
      </c>
      <c r="I895" s="7" t="n">
        <v>2081</v>
      </c>
      <c r="J895" s="8" t="n">
        <v>10.96</v>
      </c>
      <c r="K895" s="9" t="n">
        <f aca="false">(G895+H895+I895)/E895</f>
        <v>0.0707747510251904</v>
      </c>
    </row>
    <row r="896" customFormat="false" ht="14.25" hidden="false" customHeight="true" outlineLevel="0" collapsed="false">
      <c r="A896" s="5" t="s">
        <v>920</v>
      </c>
      <c r="B896" s="5" t="s">
        <v>18</v>
      </c>
      <c r="C896" s="6" t="n">
        <v>45680</v>
      </c>
      <c r="D896" s="5" t="s">
        <v>26</v>
      </c>
      <c r="E896" s="7" t="n">
        <v>57977</v>
      </c>
      <c r="F896" s="7" t="n">
        <v>40677</v>
      </c>
      <c r="G896" s="7" t="n">
        <v>2927</v>
      </c>
      <c r="H896" s="7" t="n">
        <v>527</v>
      </c>
      <c r="I896" s="7" t="n">
        <v>120</v>
      </c>
      <c r="J896" s="8" t="n">
        <v>8.79</v>
      </c>
      <c r="K896" s="9" t="n">
        <f aca="false">(G896+H896+I896)/E896</f>
        <v>0.0616451351397968</v>
      </c>
    </row>
    <row r="897" customFormat="false" ht="14.25" hidden="false" customHeight="true" outlineLevel="0" collapsed="false">
      <c r="A897" s="5" t="s">
        <v>921</v>
      </c>
      <c r="B897" s="5" t="s">
        <v>18</v>
      </c>
      <c r="C897" s="6" t="n">
        <v>45535</v>
      </c>
      <c r="D897" s="5" t="s">
        <v>26</v>
      </c>
      <c r="E897" s="7" t="n">
        <v>89229</v>
      </c>
      <c r="F897" s="7" t="n">
        <v>62294</v>
      </c>
      <c r="G897" s="7" t="n">
        <v>2398</v>
      </c>
      <c r="H897" s="7" t="n">
        <v>801</v>
      </c>
      <c r="I897" s="7" t="n">
        <v>138</v>
      </c>
      <c r="J897" s="8" t="n">
        <v>5.36</v>
      </c>
      <c r="K897" s="9" t="n">
        <f aca="false">(G897+H897+I897)/E897</f>
        <v>0.0373981553082518</v>
      </c>
    </row>
    <row r="898" customFormat="false" ht="14.25" hidden="false" customHeight="true" outlineLevel="0" collapsed="false">
      <c r="A898" s="5" t="s">
        <v>922</v>
      </c>
      <c r="B898" s="5" t="s">
        <v>33</v>
      </c>
      <c r="C898" s="6" t="n">
        <v>46009</v>
      </c>
      <c r="D898" s="5" t="s">
        <v>28</v>
      </c>
      <c r="E898" s="7" t="n">
        <v>4496</v>
      </c>
      <c r="F898" s="7" t="n">
        <v>2387</v>
      </c>
      <c r="G898" s="7" t="n">
        <v>67</v>
      </c>
      <c r="H898" s="7" t="n">
        <v>40</v>
      </c>
      <c r="I898" s="7" t="n">
        <v>17</v>
      </c>
      <c r="J898" s="8" t="n">
        <v>5.19</v>
      </c>
      <c r="K898" s="9" t="n">
        <f aca="false">(G898+H898+I898)/E898</f>
        <v>0.0275800711743772</v>
      </c>
    </row>
    <row r="899" customFormat="false" ht="14.25" hidden="false" customHeight="true" outlineLevel="0" collapsed="false">
      <c r="A899" s="5" t="s">
        <v>923</v>
      </c>
      <c r="B899" s="5" t="s">
        <v>25</v>
      </c>
      <c r="C899" s="6" t="n">
        <v>45650</v>
      </c>
      <c r="D899" s="5" t="s">
        <v>26</v>
      </c>
      <c r="E899" s="7" t="n">
        <v>114649</v>
      </c>
      <c r="F899" s="7" t="n">
        <v>40915</v>
      </c>
      <c r="G899" s="7" t="n">
        <v>4905</v>
      </c>
      <c r="H899" s="7" t="n">
        <v>627</v>
      </c>
      <c r="I899" s="7" t="n">
        <v>1019</v>
      </c>
      <c r="J899" s="8" t="n">
        <v>16.01</v>
      </c>
      <c r="K899" s="9" t="n">
        <f aca="false">(G899+H899+I899)/E899</f>
        <v>0.0571396174410592</v>
      </c>
    </row>
    <row r="900" customFormat="false" ht="14.25" hidden="false" customHeight="true" outlineLevel="0" collapsed="false">
      <c r="A900" s="5" t="s">
        <v>924</v>
      </c>
      <c r="B900" s="5" t="s">
        <v>18</v>
      </c>
      <c r="C900" s="6" t="n">
        <v>45777</v>
      </c>
      <c r="D900" s="5" t="s">
        <v>28</v>
      </c>
      <c r="E900" s="7" t="n">
        <v>57763</v>
      </c>
      <c r="F900" s="7" t="n">
        <v>39016</v>
      </c>
      <c r="G900" s="7" t="n">
        <v>2813</v>
      </c>
      <c r="H900" s="7" t="n">
        <v>376</v>
      </c>
      <c r="I900" s="7" t="n">
        <v>121</v>
      </c>
      <c r="J900" s="8" t="n">
        <v>8.48</v>
      </c>
      <c r="K900" s="9" t="n">
        <f aca="false">(G900+H900+I900)/E900</f>
        <v>0.0573031179128508</v>
      </c>
    </row>
    <row r="901" customFormat="false" ht="14.25" hidden="false" customHeight="true" outlineLevel="0" collapsed="false">
      <c r="A901" s="5" t="s">
        <v>925</v>
      </c>
      <c r="B901" s="5" t="s">
        <v>22</v>
      </c>
      <c r="C901" s="6" t="n">
        <v>45332</v>
      </c>
      <c r="D901" s="5" t="s">
        <v>15</v>
      </c>
      <c r="E901" s="7" t="n">
        <v>13664</v>
      </c>
      <c r="F901" s="7" t="n">
        <v>7037</v>
      </c>
      <c r="G901" s="7" t="n">
        <v>193</v>
      </c>
      <c r="H901" s="7" t="n">
        <v>40</v>
      </c>
      <c r="I901" s="7" t="n">
        <v>28</v>
      </c>
      <c r="J901" s="8" t="n">
        <v>3.71</v>
      </c>
      <c r="K901" s="9" t="n">
        <f aca="false">(G901+H901+I901)/E901</f>
        <v>0.0191012880562061</v>
      </c>
    </row>
    <row r="902" customFormat="false" ht="14.25" hidden="false" customHeight="true" outlineLevel="0" collapsed="false">
      <c r="A902" s="5" t="s">
        <v>926</v>
      </c>
      <c r="B902" s="5" t="s">
        <v>14</v>
      </c>
      <c r="C902" s="6" t="n">
        <v>45771</v>
      </c>
      <c r="D902" s="5" t="s">
        <v>23</v>
      </c>
      <c r="E902" s="7" t="n">
        <v>64115</v>
      </c>
      <c r="F902" s="7" t="n">
        <v>40522</v>
      </c>
      <c r="G902" s="7" t="n">
        <v>595</v>
      </c>
      <c r="H902" s="7" t="n">
        <v>676</v>
      </c>
      <c r="I902" s="7" t="n">
        <v>1102</v>
      </c>
      <c r="J902" s="8" t="n">
        <v>5.86</v>
      </c>
      <c r="K902" s="9" t="n">
        <f aca="false">(G902+H902+I902)/E902</f>
        <v>0.0370116197457693</v>
      </c>
    </row>
    <row r="903" customFormat="false" ht="14.25" hidden="false" customHeight="true" outlineLevel="0" collapsed="false">
      <c r="A903" s="5" t="s">
        <v>927</v>
      </c>
      <c r="B903" s="5" t="s">
        <v>25</v>
      </c>
      <c r="C903" s="6" t="n">
        <v>45470</v>
      </c>
      <c r="D903" s="5" t="s">
        <v>26</v>
      </c>
      <c r="E903" s="7" t="n">
        <v>90328</v>
      </c>
      <c r="F903" s="7" t="n">
        <v>42224</v>
      </c>
      <c r="G903" s="7" t="n">
        <v>1995</v>
      </c>
      <c r="H903" s="7" t="n">
        <v>1075</v>
      </c>
      <c r="I903" s="7" t="n">
        <v>1562</v>
      </c>
      <c r="J903" s="8" t="n">
        <v>10.97</v>
      </c>
      <c r="K903" s="9" t="n">
        <f aca="false">(G903+H903+I903)/E903</f>
        <v>0.0512797803560358</v>
      </c>
    </row>
    <row r="904" customFormat="false" ht="14.25" hidden="false" customHeight="true" outlineLevel="0" collapsed="false">
      <c r="A904" s="5" t="s">
        <v>928</v>
      </c>
      <c r="B904" s="5" t="s">
        <v>18</v>
      </c>
      <c r="C904" s="6" t="n">
        <v>45588</v>
      </c>
      <c r="D904" s="5" t="s">
        <v>19</v>
      </c>
      <c r="E904" s="7" t="n">
        <v>35571</v>
      </c>
      <c r="F904" s="7" t="n">
        <v>26417</v>
      </c>
      <c r="G904" s="7" t="n">
        <v>1163</v>
      </c>
      <c r="H904" s="7" t="n">
        <v>337</v>
      </c>
      <c r="I904" s="7" t="n">
        <v>87</v>
      </c>
      <c r="J904" s="8" t="n">
        <v>6.01</v>
      </c>
      <c r="K904" s="9" t="n">
        <f aca="false">(G904+H904+I904)/E904</f>
        <v>0.0446149953613899</v>
      </c>
    </row>
    <row r="905" customFormat="false" ht="14.25" hidden="false" customHeight="true" outlineLevel="0" collapsed="false">
      <c r="A905" s="5" t="s">
        <v>929</v>
      </c>
      <c r="B905" s="5" t="s">
        <v>18</v>
      </c>
      <c r="C905" s="6" t="n">
        <v>45896</v>
      </c>
      <c r="D905" s="5" t="s">
        <v>19</v>
      </c>
      <c r="E905" s="7" t="n">
        <v>40905</v>
      </c>
      <c r="F905" s="7" t="n">
        <v>31015</v>
      </c>
      <c r="G905" s="7" t="n">
        <v>2164</v>
      </c>
      <c r="H905" s="7" t="n">
        <v>203</v>
      </c>
      <c r="I905" s="7" t="n">
        <v>58</v>
      </c>
      <c r="J905" s="8" t="n">
        <v>7.82</v>
      </c>
      <c r="K905" s="9" t="n">
        <f aca="false">(G905+H905+I905)/E905</f>
        <v>0.0592837061483926</v>
      </c>
    </row>
    <row r="906" customFormat="false" ht="14.25" hidden="false" customHeight="true" outlineLevel="0" collapsed="false">
      <c r="A906" s="5" t="s">
        <v>930</v>
      </c>
      <c r="B906" s="5" t="s">
        <v>18</v>
      </c>
      <c r="C906" s="6" t="n">
        <v>45565</v>
      </c>
      <c r="D906" s="5" t="s">
        <v>19</v>
      </c>
      <c r="E906" s="7" t="n">
        <v>28847</v>
      </c>
      <c r="F906" s="7" t="n">
        <v>16971</v>
      </c>
      <c r="G906" s="7" t="n">
        <v>1078</v>
      </c>
      <c r="H906" s="7" t="n">
        <v>73</v>
      </c>
      <c r="I906" s="7" t="n">
        <v>164</v>
      </c>
      <c r="J906" s="8" t="n">
        <v>7.75</v>
      </c>
      <c r="K906" s="9" t="n">
        <f aca="false">(G906+H906+I906)/E906</f>
        <v>0.0455853294970014</v>
      </c>
    </row>
    <row r="907" customFormat="false" ht="14.25" hidden="false" customHeight="true" outlineLevel="0" collapsed="false">
      <c r="A907" s="5" t="s">
        <v>931</v>
      </c>
      <c r="B907" s="5" t="s">
        <v>14</v>
      </c>
      <c r="C907" s="6" t="n">
        <v>45862</v>
      </c>
      <c r="D907" s="5" t="s">
        <v>15</v>
      </c>
      <c r="E907" s="7" t="n">
        <v>4581</v>
      </c>
      <c r="F907" s="7" t="n">
        <v>1515</v>
      </c>
      <c r="G907" s="7" t="n">
        <v>34</v>
      </c>
      <c r="H907" s="7" t="n">
        <v>13</v>
      </c>
      <c r="I907" s="7" t="n">
        <v>45</v>
      </c>
      <c r="J907" s="8" t="n">
        <v>6.07</v>
      </c>
      <c r="K907" s="9" t="n">
        <f aca="false">(G907+H907+I907)/E907</f>
        <v>0.0200829513206723</v>
      </c>
    </row>
    <row r="908" customFormat="false" ht="14.25" hidden="false" customHeight="true" outlineLevel="0" collapsed="false">
      <c r="A908" s="5" t="s">
        <v>932</v>
      </c>
      <c r="B908" s="5" t="s">
        <v>25</v>
      </c>
      <c r="C908" s="6" t="n">
        <v>45605</v>
      </c>
      <c r="D908" s="5" t="s">
        <v>23</v>
      </c>
      <c r="E908" s="7" t="n">
        <v>231187</v>
      </c>
      <c r="F908" s="7" t="n">
        <v>120922</v>
      </c>
      <c r="G908" s="7" t="n">
        <v>6396</v>
      </c>
      <c r="H908" s="7" t="n">
        <v>3163</v>
      </c>
      <c r="I908" s="7" t="n">
        <v>3519</v>
      </c>
      <c r="J908" s="8" t="n">
        <v>10.82</v>
      </c>
      <c r="K908" s="9" t="n">
        <f aca="false">(G908+H908+I908)/E908</f>
        <v>0.056568924723276</v>
      </c>
    </row>
    <row r="909" customFormat="false" ht="14.25" hidden="false" customHeight="true" outlineLevel="0" collapsed="false">
      <c r="A909" s="5" t="s">
        <v>933</v>
      </c>
      <c r="B909" s="5" t="s">
        <v>18</v>
      </c>
      <c r="C909" s="6" t="n">
        <v>45401</v>
      </c>
      <c r="D909" s="5" t="s">
        <v>19</v>
      </c>
      <c r="E909" s="7" t="n">
        <v>19046</v>
      </c>
      <c r="F909" s="7" t="n">
        <v>10075</v>
      </c>
      <c r="G909" s="7" t="n">
        <v>319</v>
      </c>
      <c r="H909" s="7" t="n">
        <v>147</v>
      </c>
      <c r="I909" s="7" t="n">
        <v>67</v>
      </c>
      <c r="J909" s="8" t="n">
        <v>5.29</v>
      </c>
      <c r="K909" s="9" t="n">
        <f aca="false">(G909+H909+I909)/E909</f>
        <v>0.0279848787146908</v>
      </c>
    </row>
    <row r="910" customFormat="false" ht="14.25" hidden="false" customHeight="true" outlineLevel="0" collapsed="false">
      <c r="A910" s="5" t="s">
        <v>934</v>
      </c>
      <c r="B910" s="5" t="s">
        <v>18</v>
      </c>
      <c r="C910" s="6" t="n">
        <v>45968</v>
      </c>
      <c r="D910" s="5" t="s">
        <v>26</v>
      </c>
      <c r="E910" s="7" t="n">
        <v>24051</v>
      </c>
      <c r="F910" s="7" t="n">
        <v>10657</v>
      </c>
      <c r="G910" s="7" t="n">
        <v>755</v>
      </c>
      <c r="H910" s="7" t="n">
        <v>153</v>
      </c>
      <c r="I910" s="7" t="n">
        <v>85</v>
      </c>
      <c r="J910" s="8" t="n">
        <v>9.32</v>
      </c>
      <c r="K910" s="9" t="n">
        <f aca="false">(G910+H910+I910)/E910</f>
        <v>0.041287264562804</v>
      </c>
    </row>
    <row r="911" customFormat="false" ht="14.25" hidden="false" customHeight="true" outlineLevel="0" collapsed="false">
      <c r="A911" s="5" t="s">
        <v>935</v>
      </c>
      <c r="B911" s="5" t="s">
        <v>18</v>
      </c>
      <c r="C911" s="6" t="n">
        <v>45561</v>
      </c>
      <c r="D911" s="5" t="s">
        <v>23</v>
      </c>
      <c r="E911" s="7" t="n">
        <v>72929</v>
      </c>
      <c r="F911" s="7" t="n">
        <v>38930</v>
      </c>
      <c r="G911" s="7" t="n">
        <v>1482</v>
      </c>
      <c r="H911" s="7" t="n">
        <v>471</v>
      </c>
      <c r="I911" s="7" t="n">
        <v>84</v>
      </c>
      <c r="J911" s="8" t="n">
        <v>5.23</v>
      </c>
      <c r="K911" s="9" t="n">
        <f aca="false">(G911+H911+I911)/E911</f>
        <v>0.0279312756242373</v>
      </c>
    </row>
    <row r="912" customFormat="false" ht="14.25" hidden="false" customHeight="true" outlineLevel="0" collapsed="false">
      <c r="A912" s="5" t="s">
        <v>936</v>
      </c>
      <c r="B912" s="5" t="s">
        <v>25</v>
      </c>
      <c r="C912" s="6" t="n">
        <v>45841</v>
      </c>
      <c r="D912" s="5" t="s">
        <v>26</v>
      </c>
      <c r="E912" s="7" t="n">
        <v>53676</v>
      </c>
      <c r="F912" s="7" t="n">
        <v>37463</v>
      </c>
      <c r="G912" s="7" t="n">
        <v>1490</v>
      </c>
      <c r="H912" s="7" t="n">
        <v>282</v>
      </c>
      <c r="I912" s="7" t="n">
        <v>1104</v>
      </c>
      <c r="J912" s="8" t="n">
        <v>7.68</v>
      </c>
      <c r="K912" s="9" t="n">
        <f aca="false">(G912+H912+I912)/E912</f>
        <v>0.0535807437215888</v>
      </c>
    </row>
    <row r="913" customFormat="false" ht="14.25" hidden="false" customHeight="true" outlineLevel="0" collapsed="false">
      <c r="A913" s="5" t="s">
        <v>937</v>
      </c>
      <c r="B913" s="5" t="s">
        <v>18</v>
      </c>
      <c r="C913" s="6" t="n">
        <v>45705</v>
      </c>
      <c r="D913" s="5" t="s">
        <v>23</v>
      </c>
      <c r="E913" s="7" t="n">
        <v>71115</v>
      </c>
      <c r="F913" s="7" t="n">
        <v>34108</v>
      </c>
      <c r="G913" s="7" t="n">
        <v>1168</v>
      </c>
      <c r="H913" s="7" t="n">
        <v>322</v>
      </c>
      <c r="I913" s="7" t="n">
        <v>214</v>
      </c>
      <c r="J913" s="8" t="n">
        <v>5</v>
      </c>
      <c r="K913" s="9" t="n">
        <f aca="false">(G913+H913+I913)/E913</f>
        <v>0.0239611896224425</v>
      </c>
    </row>
    <row r="914" customFormat="false" ht="14.25" hidden="false" customHeight="true" outlineLevel="0" collapsed="false">
      <c r="A914" s="5" t="s">
        <v>938</v>
      </c>
      <c r="B914" s="5" t="s">
        <v>25</v>
      </c>
      <c r="C914" s="6" t="n">
        <v>45977</v>
      </c>
      <c r="D914" s="5" t="s">
        <v>26</v>
      </c>
      <c r="E914" s="7" t="n">
        <v>37114</v>
      </c>
      <c r="F914" s="7" t="n">
        <v>21005</v>
      </c>
      <c r="G914" s="7" t="n">
        <v>2220</v>
      </c>
      <c r="H914" s="7" t="n">
        <v>571</v>
      </c>
      <c r="I914" s="7" t="n">
        <v>995</v>
      </c>
      <c r="J914" s="8" t="n">
        <v>18.02</v>
      </c>
      <c r="K914" s="9" t="n">
        <f aca="false">(G914+H914+I914)/E914</f>
        <v>0.102010023171849</v>
      </c>
    </row>
    <row r="915" customFormat="false" ht="14.25" hidden="false" customHeight="true" outlineLevel="0" collapsed="false">
      <c r="A915" s="5" t="s">
        <v>939</v>
      </c>
      <c r="B915" s="5" t="s">
        <v>33</v>
      </c>
      <c r="C915" s="6" t="n">
        <v>45924</v>
      </c>
      <c r="D915" s="5" t="s">
        <v>15</v>
      </c>
      <c r="E915" s="7" t="n">
        <v>2081</v>
      </c>
      <c r="F915" s="7" t="n">
        <v>917</v>
      </c>
      <c r="G915" s="7" t="n">
        <v>37</v>
      </c>
      <c r="H915" s="7" t="n">
        <v>14</v>
      </c>
      <c r="I915" s="7" t="n">
        <v>8</v>
      </c>
      <c r="J915" s="8" t="n">
        <v>6.43</v>
      </c>
      <c r="K915" s="9" t="n">
        <f aca="false">(G915+H915+I915)/E915</f>
        <v>0.0283517539644402</v>
      </c>
    </row>
    <row r="916" customFormat="false" ht="14.25" hidden="false" customHeight="true" outlineLevel="0" collapsed="false">
      <c r="A916" s="5" t="s">
        <v>940</v>
      </c>
      <c r="B916" s="5" t="s">
        <v>22</v>
      </c>
      <c r="C916" s="6" t="n">
        <v>45310</v>
      </c>
      <c r="D916" s="5" t="s">
        <v>15</v>
      </c>
      <c r="E916" s="7" t="n">
        <v>1845</v>
      </c>
      <c r="F916" s="7" t="n">
        <v>1615</v>
      </c>
      <c r="G916" s="7" t="n">
        <v>38</v>
      </c>
      <c r="H916" s="7" t="n">
        <v>3</v>
      </c>
      <c r="I916" s="7" t="n">
        <v>8</v>
      </c>
      <c r="J916" s="8" t="n">
        <v>3.03</v>
      </c>
      <c r="K916" s="9" t="n">
        <f aca="false">(G916+H916+I916)/E916</f>
        <v>0.0265582655826558</v>
      </c>
    </row>
    <row r="917" customFormat="false" ht="14.25" hidden="false" customHeight="true" outlineLevel="0" collapsed="false">
      <c r="A917" s="5" t="s">
        <v>941</v>
      </c>
      <c r="B917" s="5" t="s">
        <v>22</v>
      </c>
      <c r="C917" s="6" t="n">
        <v>45555</v>
      </c>
      <c r="D917" s="5" t="s">
        <v>19</v>
      </c>
      <c r="E917" s="7" t="n">
        <v>4817</v>
      </c>
      <c r="F917" s="7" t="n">
        <v>3595</v>
      </c>
      <c r="G917" s="7" t="n">
        <v>106</v>
      </c>
      <c r="H917" s="7" t="n">
        <v>21</v>
      </c>
      <c r="I917" s="7" t="n">
        <v>32</v>
      </c>
      <c r="J917" s="8" t="n">
        <v>4.42</v>
      </c>
      <c r="K917" s="9" t="n">
        <f aca="false">(G917+H917+I917)/E917</f>
        <v>0.0330080963255138</v>
      </c>
    </row>
    <row r="918" customFormat="false" ht="14.25" hidden="false" customHeight="true" outlineLevel="0" collapsed="false">
      <c r="A918" s="5" t="s">
        <v>942</v>
      </c>
      <c r="B918" s="5" t="s">
        <v>25</v>
      </c>
      <c r="C918" s="6" t="n">
        <v>45571</v>
      </c>
      <c r="D918" s="5" t="s">
        <v>26</v>
      </c>
      <c r="E918" s="7" t="n">
        <v>128853</v>
      </c>
      <c r="F918" s="7" t="n">
        <v>68911</v>
      </c>
      <c r="G918" s="7" t="n">
        <v>7500</v>
      </c>
      <c r="H918" s="7" t="n">
        <v>596</v>
      </c>
      <c r="I918" s="7" t="n">
        <v>1685</v>
      </c>
      <c r="J918" s="8" t="n">
        <v>14.19</v>
      </c>
      <c r="K918" s="9" t="n">
        <f aca="false">(G918+H918+I918)/E918</f>
        <v>0.0759082054744554</v>
      </c>
    </row>
    <row r="919" customFormat="false" ht="14.25" hidden="false" customHeight="true" outlineLevel="0" collapsed="false">
      <c r="A919" s="5" t="s">
        <v>943</v>
      </c>
      <c r="B919" s="5" t="s">
        <v>18</v>
      </c>
      <c r="C919" s="6" t="n">
        <v>45737</v>
      </c>
      <c r="D919" s="5" t="s">
        <v>26</v>
      </c>
      <c r="E919" s="7" t="n">
        <v>57654</v>
      </c>
      <c r="F919" s="7" t="n">
        <v>26522</v>
      </c>
      <c r="G919" s="7" t="n">
        <v>1262</v>
      </c>
      <c r="H919" s="7" t="n">
        <v>79</v>
      </c>
      <c r="I919" s="7" t="n">
        <v>132</v>
      </c>
      <c r="J919" s="8" t="n">
        <v>5.55</v>
      </c>
      <c r="K919" s="9" t="n">
        <f aca="false">(G919+H919+I919)/E919</f>
        <v>0.0255489645124363</v>
      </c>
    </row>
    <row r="920" customFormat="false" ht="14.25" hidden="false" customHeight="true" outlineLevel="0" collapsed="false">
      <c r="A920" s="5" t="s">
        <v>944</v>
      </c>
      <c r="B920" s="5" t="s">
        <v>25</v>
      </c>
      <c r="C920" s="6" t="n">
        <v>45678</v>
      </c>
      <c r="D920" s="5" t="s">
        <v>26</v>
      </c>
      <c r="E920" s="7" t="n">
        <v>47053</v>
      </c>
      <c r="F920" s="7" t="n">
        <v>21925</v>
      </c>
      <c r="G920" s="7" t="n">
        <v>2027</v>
      </c>
      <c r="H920" s="7" t="n">
        <v>225</v>
      </c>
      <c r="I920" s="7" t="n">
        <v>1001</v>
      </c>
      <c r="J920" s="8" t="n">
        <v>14.84</v>
      </c>
      <c r="K920" s="9" t="n">
        <f aca="false">(G920+H920+I920)/E920</f>
        <v>0.0691348054321722</v>
      </c>
    </row>
    <row r="921" customFormat="false" ht="14.25" hidden="false" customHeight="true" outlineLevel="0" collapsed="false">
      <c r="A921" s="5" t="s">
        <v>945</v>
      </c>
      <c r="B921" s="5" t="s">
        <v>25</v>
      </c>
      <c r="C921" s="6" t="n">
        <v>45444</v>
      </c>
      <c r="D921" s="5" t="s">
        <v>26</v>
      </c>
      <c r="E921" s="7" t="n">
        <v>350053</v>
      </c>
      <c r="F921" s="7" t="n">
        <v>177316</v>
      </c>
      <c r="G921" s="7" t="n">
        <v>7347</v>
      </c>
      <c r="H921" s="7" t="n">
        <v>1039</v>
      </c>
      <c r="I921" s="7" t="n">
        <v>5092</v>
      </c>
      <c r="J921" s="8" t="n">
        <v>7.6</v>
      </c>
      <c r="K921" s="9" t="n">
        <f aca="false">(G921+H921+I921)/E921</f>
        <v>0.0385027410135037</v>
      </c>
    </row>
    <row r="922" customFormat="false" ht="14.25" hidden="false" customHeight="true" outlineLevel="0" collapsed="false">
      <c r="A922" s="5" t="s">
        <v>946</v>
      </c>
      <c r="B922" s="5" t="s">
        <v>25</v>
      </c>
      <c r="C922" s="6" t="n">
        <v>45764</v>
      </c>
      <c r="D922" s="5" t="s">
        <v>23</v>
      </c>
      <c r="E922" s="7" t="n">
        <v>129192</v>
      </c>
      <c r="F922" s="7" t="n">
        <v>60725</v>
      </c>
      <c r="G922" s="7" t="n">
        <v>2190</v>
      </c>
      <c r="H922" s="7" t="n">
        <v>1267</v>
      </c>
      <c r="I922" s="7" t="n">
        <v>758</v>
      </c>
      <c r="J922" s="8" t="n">
        <v>6.94</v>
      </c>
      <c r="K922" s="9" t="n">
        <f aca="false">(G922+H922+I922)/E922</f>
        <v>0.0326258591863273</v>
      </c>
    </row>
    <row r="923" customFormat="false" ht="14.25" hidden="false" customHeight="true" outlineLevel="0" collapsed="false">
      <c r="A923" s="5" t="s">
        <v>947</v>
      </c>
      <c r="B923" s="5" t="s">
        <v>25</v>
      </c>
      <c r="C923" s="6" t="n">
        <v>45607</v>
      </c>
      <c r="D923" s="5" t="s">
        <v>26</v>
      </c>
      <c r="E923" s="7" t="n">
        <v>289201</v>
      </c>
      <c r="F923" s="7" t="n">
        <v>117343</v>
      </c>
      <c r="G923" s="7" t="n">
        <v>8320</v>
      </c>
      <c r="H923" s="7" t="n">
        <v>2383</v>
      </c>
      <c r="I923" s="7" t="n">
        <v>1721</v>
      </c>
      <c r="J923" s="8" t="n">
        <v>10.59</v>
      </c>
      <c r="K923" s="9" t="n">
        <f aca="false">(G923+H923+I923)/E923</f>
        <v>0.0429597408031093</v>
      </c>
    </row>
    <row r="924" customFormat="false" ht="14.25" hidden="false" customHeight="true" outlineLevel="0" collapsed="false">
      <c r="A924" s="5" t="s">
        <v>948</v>
      </c>
      <c r="B924" s="5" t="s">
        <v>14</v>
      </c>
      <c r="C924" s="6" t="n">
        <v>45418</v>
      </c>
      <c r="D924" s="5" t="s">
        <v>23</v>
      </c>
      <c r="E924" s="7" t="n">
        <v>14173</v>
      </c>
      <c r="F924" s="7" t="n">
        <v>9631</v>
      </c>
      <c r="G924" s="7" t="n">
        <v>381</v>
      </c>
      <c r="H924" s="7" t="n">
        <v>172</v>
      </c>
      <c r="I924" s="7" t="n">
        <v>109</v>
      </c>
      <c r="J924" s="8" t="n">
        <v>6.87</v>
      </c>
      <c r="K924" s="9" t="n">
        <f aca="false">(G924+H924+I924)/E924</f>
        <v>0.0467085303040993</v>
      </c>
    </row>
    <row r="925" customFormat="false" ht="14.25" hidden="false" customHeight="true" outlineLevel="0" collapsed="false">
      <c r="A925" s="5" t="s">
        <v>949</v>
      </c>
      <c r="B925" s="5" t="s">
        <v>14</v>
      </c>
      <c r="C925" s="6" t="n">
        <v>45974</v>
      </c>
      <c r="D925" s="5" t="s">
        <v>28</v>
      </c>
      <c r="E925" s="7" t="n">
        <v>47814</v>
      </c>
      <c r="F925" s="7" t="n">
        <v>18972</v>
      </c>
      <c r="G925" s="7" t="n">
        <v>249</v>
      </c>
      <c r="H925" s="7" t="n">
        <v>259</v>
      </c>
      <c r="I925" s="7" t="n">
        <v>340</v>
      </c>
      <c r="J925" s="8" t="n">
        <v>4.47</v>
      </c>
      <c r="K925" s="9" t="n">
        <f aca="false">(G925+H925+I925)/E925</f>
        <v>0.0177353913079851</v>
      </c>
    </row>
    <row r="926" customFormat="false" ht="14.25" hidden="false" customHeight="true" outlineLevel="0" collapsed="false">
      <c r="A926" s="5" t="s">
        <v>950</v>
      </c>
      <c r="B926" s="5" t="s">
        <v>18</v>
      </c>
      <c r="C926" s="6" t="n">
        <v>45353</v>
      </c>
      <c r="D926" s="5" t="s">
        <v>26</v>
      </c>
      <c r="E926" s="7" t="n">
        <v>1353</v>
      </c>
      <c r="F926" s="7" t="n">
        <v>957</v>
      </c>
      <c r="G926" s="7" t="n">
        <v>72</v>
      </c>
      <c r="H926" s="7" t="n">
        <v>12</v>
      </c>
      <c r="I926" s="7" t="n">
        <v>8</v>
      </c>
      <c r="J926" s="8" t="n">
        <v>9.61</v>
      </c>
      <c r="K926" s="9" t="n">
        <f aca="false">(G926+H926+I926)/E926</f>
        <v>0.0679970436067997</v>
      </c>
    </row>
    <row r="927" customFormat="false" ht="14.25" hidden="false" customHeight="true" outlineLevel="0" collapsed="false">
      <c r="A927" s="5" t="s">
        <v>951</v>
      </c>
      <c r="B927" s="5" t="s">
        <v>33</v>
      </c>
      <c r="C927" s="6" t="n">
        <v>45972</v>
      </c>
      <c r="D927" s="5" t="s">
        <v>15</v>
      </c>
      <c r="E927" s="7" t="n">
        <v>16306</v>
      </c>
      <c r="F927" s="7" t="n">
        <v>11783</v>
      </c>
      <c r="G927" s="7" t="n">
        <v>533</v>
      </c>
      <c r="H927" s="7" t="n">
        <v>293</v>
      </c>
      <c r="I927" s="7" t="n">
        <v>166</v>
      </c>
      <c r="J927" s="8" t="n">
        <v>8.42</v>
      </c>
      <c r="K927" s="9" t="n">
        <f aca="false">(G927+H927+I927)/E927</f>
        <v>0.0608365019011407</v>
      </c>
    </row>
    <row r="928" customFormat="false" ht="14.25" hidden="false" customHeight="true" outlineLevel="0" collapsed="false">
      <c r="A928" s="5" t="s">
        <v>952</v>
      </c>
      <c r="B928" s="5" t="s">
        <v>18</v>
      </c>
      <c r="C928" s="6" t="n">
        <v>45833</v>
      </c>
      <c r="D928" s="5" t="s">
        <v>26</v>
      </c>
      <c r="E928" s="7" t="n">
        <v>69358</v>
      </c>
      <c r="F928" s="7" t="n">
        <v>34743</v>
      </c>
      <c r="G928" s="7" t="n">
        <v>749</v>
      </c>
      <c r="H928" s="7" t="n">
        <v>342</v>
      </c>
      <c r="I928" s="7" t="n">
        <v>49</v>
      </c>
      <c r="J928" s="8" t="n">
        <v>3.28</v>
      </c>
      <c r="K928" s="9" t="n">
        <f aca="false">(G928+H928+I928)/E928</f>
        <v>0.0164364601055394</v>
      </c>
    </row>
    <row r="929" customFormat="false" ht="14.25" hidden="false" customHeight="true" outlineLevel="0" collapsed="false">
      <c r="A929" s="5" t="s">
        <v>953</v>
      </c>
      <c r="B929" s="5" t="s">
        <v>14</v>
      </c>
      <c r="C929" s="6" t="n">
        <v>45727</v>
      </c>
      <c r="D929" s="5" t="s">
        <v>23</v>
      </c>
      <c r="E929" s="7" t="n">
        <v>39610</v>
      </c>
      <c r="F929" s="7" t="n">
        <v>15900</v>
      </c>
      <c r="G929" s="7" t="n">
        <v>721</v>
      </c>
      <c r="H929" s="7" t="n">
        <v>100</v>
      </c>
      <c r="I929" s="7" t="n">
        <v>172</v>
      </c>
      <c r="J929" s="8" t="n">
        <v>6.25</v>
      </c>
      <c r="K929" s="9" t="n">
        <f aca="false">(G929+H929+I929)/E929</f>
        <v>0.0250694269123959</v>
      </c>
    </row>
    <row r="930" customFormat="false" ht="14.25" hidden="false" customHeight="true" outlineLevel="0" collapsed="false">
      <c r="A930" s="5" t="s">
        <v>954</v>
      </c>
      <c r="B930" s="5" t="s">
        <v>18</v>
      </c>
      <c r="C930" s="6" t="n">
        <v>45420</v>
      </c>
      <c r="D930" s="5" t="s">
        <v>26</v>
      </c>
      <c r="E930" s="7" t="n">
        <v>47145</v>
      </c>
      <c r="F930" s="7" t="n">
        <v>34797</v>
      </c>
      <c r="G930" s="7" t="n">
        <v>806</v>
      </c>
      <c r="H930" s="7" t="n">
        <v>193</v>
      </c>
      <c r="I930" s="7" t="n">
        <v>185</v>
      </c>
      <c r="J930" s="8" t="n">
        <v>3.4</v>
      </c>
      <c r="K930" s="9" t="n">
        <f aca="false">(G930+H930+I930)/E930</f>
        <v>0.0251140099692438</v>
      </c>
    </row>
    <row r="931" customFormat="false" ht="14.25" hidden="false" customHeight="true" outlineLevel="0" collapsed="false">
      <c r="A931" s="5" t="s">
        <v>955</v>
      </c>
      <c r="B931" s="5" t="s">
        <v>33</v>
      </c>
      <c r="C931" s="6" t="n">
        <v>45735</v>
      </c>
      <c r="D931" s="5" t="s">
        <v>15</v>
      </c>
      <c r="E931" s="7" t="n">
        <v>1328</v>
      </c>
      <c r="F931" s="7" t="n">
        <v>886</v>
      </c>
      <c r="G931" s="7" t="n">
        <v>52</v>
      </c>
      <c r="H931" s="7" t="n">
        <v>18</v>
      </c>
      <c r="I931" s="7" t="n">
        <v>2</v>
      </c>
      <c r="J931" s="8" t="n">
        <v>8.13</v>
      </c>
      <c r="K931" s="9" t="n">
        <f aca="false">(G931+H931+I931)/E931</f>
        <v>0.0542168674698795</v>
      </c>
    </row>
    <row r="932" customFormat="false" ht="14.25" hidden="false" customHeight="true" outlineLevel="0" collapsed="false">
      <c r="A932" s="5" t="s">
        <v>956</v>
      </c>
      <c r="B932" s="5" t="s">
        <v>14</v>
      </c>
      <c r="C932" s="6" t="n">
        <v>45690</v>
      </c>
      <c r="D932" s="5" t="s">
        <v>28</v>
      </c>
      <c r="E932" s="7" t="n">
        <v>44711</v>
      </c>
      <c r="F932" s="7" t="n">
        <v>29695</v>
      </c>
      <c r="G932" s="7" t="n">
        <v>1326</v>
      </c>
      <c r="H932" s="7" t="n">
        <v>363</v>
      </c>
      <c r="I932" s="7" t="n">
        <v>565</v>
      </c>
      <c r="J932" s="8" t="n">
        <v>7.59</v>
      </c>
      <c r="K932" s="9" t="n">
        <f aca="false">(G932+H932+I932)/E932</f>
        <v>0.0504126501308403</v>
      </c>
    </row>
    <row r="933" customFormat="false" ht="14.25" hidden="false" customHeight="true" outlineLevel="0" collapsed="false">
      <c r="A933" s="5" t="s">
        <v>957</v>
      </c>
      <c r="B933" s="5" t="s">
        <v>14</v>
      </c>
      <c r="C933" s="6" t="n">
        <v>45972</v>
      </c>
      <c r="D933" s="5" t="s">
        <v>28</v>
      </c>
      <c r="E933" s="7" t="n">
        <v>9790</v>
      </c>
      <c r="F933" s="7" t="n">
        <v>4339</v>
      </c>
      <c r="G933" s="7" t="n">
        <v>208</v>
      </c>
      <c r="H933" s="7" t="n">
        <v>50</v>
      </c>
      <c r="I933" s="7" t="n">
        <v>31</v>
      </c>
      <c r="J933" s="8" t="n">
        <v>6.66</v>
      </c>
      <c r="K933" s="9" t="n">
        <f aca="false">(G933+H933+I933)/E933</f>
        <v>0.0295199182839632</v>
      </c>
    </row>
    <row r="934" customFormat="false" ht="14.25" hidden="false" customHeight="true" outlineLevel="0" collapsed="false">
      <c r="A934" s="5" t="s">
        <v>958</v>
      </c>
      <c r="B934" s="5" t="s">
        <v>18</v>
      </c>
      <c r="C934" s="6" t="n">
        <v>45940</v>
      </c>
      <c r="D934" s="5" t="s">
        <v>26</v>
      </c>
      <c r="E934" s="7" t="n">
        <v>82927</v>
      </c>
      <c r="F934" s="7" t="n">
        <v>48095</v>
      </c>
      <c r="G934" s="7" t="n">
        <v>2222</v>
      </c>
      <c r="H934" s="7" t="n">
        <v>323</v>
      </c>
      <c r="I934" s="7" t="n">
        <v>426</v>
      </c>
      <c r="J934" s="8" t="n">
        <v>6.18</v>
      </c>
      <c r="K934" s="9" t="n">
        <f aca="false">(G934+H934+I934)/E934</f>
        <v>0.0358266909450481</v>
      </c>
    </row>
    <row r="935" customFormat="false" ht="14.25" hidden="false" customHeight="true" outlineLevel="0" collapsed="false">
      <c r="A935" s="5" t="s">
        <v>959</v>
      </c>
      <c r="B935" s="5" t="s">
        <v>18</v>
      </c>
      <c r="C935" s="6" t="n">
        <v>45902</v>
      </c>
      <c r="D935" s="5" t="s">
        <v>23</v>
      </c>
      <c r="E935" s="7" t="n">
        <v>68786</v>
      </c>
      <c r="F935" s="7" t="n">
        <v>52234</v>
      </c>
      <c r="G935" s="7" t="n">
        <v>2949</v>
      </c>
      <c r="H935" s="7" t="n">
        <v>388</v>
      </c>
      <c r="I935" s="7" t="n">
        <v>204</v>
      </c>
      <c r="J935" s="8" t="n">
        <v>6.78</v>
      </c>
      <c r="K935" s="9" t="n">
        <f aca="false">(G935+H935+I935)/E935</f>
        <v>0.051478498531678</v>
      </c>
    </row>
    <row r="936" customFormat="false" ht="14.25" hidden="false" customHeight="true" outlineLevel="0" collapsed="false">
      <c r="A936" s="5" t="s">
        <v>960</v>
      </c>
      <c r="B936" s="5" t="s">
        <v>18</v>
      </c>
      <c r="C936" s="6" t="n">
        <v>45616</v>
      </c>
      <c r="D936" s="5" t="s">
        <v>23</v>
      </c>
      <c r="E936" s="7" t="n">
        <v>79894</v>
      </c>
      <c r="F936" s="7" t="n">
        <v>44755</v>
      </c>
      <c r="G936" s="7" t="n">
        <v>2566</v>
      </c>
      <c r="H936" s="7" t="n">
        <v>422</v>
      </c>
      <c r="I936" s="7" t="n">
        <v>338</v>
      </c>
      <c r="J936" s="8" t="n">
        <v>7.43</v>
      </c>
      <c r="K936" s="9" t="n">
        <f aca="false">(G936+H936+I936)/E936</f>
        <v>0.0416301599619496</v>
      </c>
    </row>
    <row r="937" customFormat="false" ht="14.25" hidden="false" customHeight="true" outlineLevel="0" collapsed="false">
      <c r="A937" s="5" t="s">
        <v>961</v>
      </c>
      <c r="B937" s="5" t="s">
        <v>25</v>
      </c>
      <c r="C937" s="6" t="n">
        <v>45446</v>
      </c>
      <c r="D937" s="5" t="s">
        <v>23</v>
      </c>
      <c r="E937" s="7" t="n">
        <v>373146</v>
      </c>
      <c r="F937" s="7" t="n">
        <v>195558</v>
      </c>
      <c r="G937" s="7" t="n">
        <v>12870</v>
      </c>
      <c r="H937" s="7" t="n">
        <v>1644</v>
      </c>
      <c r="I937" s="7" t="n">
        <v>4133</v>
      </c>
      <c r="J937" s="8" t="n">
        <v>9.54</v>
      </c>
      <c r="K937" s="9" t="n">
        <f aca="false">(G937+H937+I937)/E937</f>
        <v>0.0499723968634261</v>
      </c>
    </row>
    <row r="938" customFormat="false" ht="14.25" hidden="false" customHeight="true" outlineLevel="0" collapsed="false">
      <c r="A938" s="5" t="s">
        <v>962</v>
      </c>
      <c r="B938" s="5" t="s">
        <v>14</v>
      </c>
      <c r="C938" s="6" t="n">
        <v>45745</v>
      </c>
      <c r="D938" s="5" t="s">
        <v>15</v>
      </c>
      <c r="E938" s="7" t="n">
        <v>28164</v>
      </c>
      <c r="F938" s="7" t="n">
        <v>11721</v>
      </c>
      <c r="G938" s="7" t="n">
        <v>495</v>
      </c>
      <c r="H938" s="7" t="n">
        <v>54</v>
      </c>
      <c r="I938" s="7" t="n">
        <v>246</v>
      </c>
      <c r="J938" s="8" t="n">
        <v>6.78</v>
      </c>
      <c r="K938" s="9" t="n">
        <f aca="false">(G938+H938+I938)/E938</f>
        <v>0.0282275244993609</v>
      </c>
    </row>
    <row r="939" customFormat="false" ht="14.25" hidden="false" customHeight="true" outlineLevel="0" collapsed="false">
      <c r="A939" s="5" t="s">
        <v>963</v>
      </c>
      <c r="B939" s="5" t="s">
        <v>33</v>
      </c>
      <c r="C939" s="6" t="n">
        <v>45374</v>
      </c>
      <c r="D939" s="5" t="s">
        <v>15</v>
      </c>
      <c r="E939" s="7" t="n">
        <v>4663</v>
      </c>
      <c r="F939" s="7" t="n">
        <v>2579</v>
      </c>
      <c r="G939" s="7" t="n">
        <v>57</v>
      </c>
      <c r="H939" s="7" t="n">
        <v>29</v>
      </c>
      <c r="I939" s="7" t="n">
        <v>20</v>
      </c>
      <c r="J939" s="8" t="n">
        <v>4.11</v>
      </c>
      <c r="K939" s="9" t="n">
        <f aca="false">(G939+H939+I939)/E939</f>
        <v>0.0227321466866824</v>
      </c>
    </row>
    <row r="940" customFormat="false" ht="14.25" hidden="false" customHeight="true" outlineLevel="0" collapsed="false">
      <c r="A940" s="5" t="s">
        <v>964</v>
      </c>
      <c r="B940" s="5" t="s">
        <v>18</v>
      </c>
      <c r="C940" s="6" t="n">
        <v>45352</v>
      </c>
      <c r="D940" s="5" t="s">
        <v>23</v>
      </c>
      <c r="E940" s="7" t="n">
        <v>23546</v>
      </c>
      <c r="F940" s="7" t="n">
        <v>14843</v>
      </c>
      <c r="G940" s="7" t="n">
        <v>798</v>
      </c>
      <c r="H940" s="7" t="n">
        <v>102</v>
      </c>
      <c r="I940" s="7" t="n">
        <v>32</v>
      </c>
      <c r="J940" s="8" t="n">
        <v>6.28</v>
      </c>
      <c r="K940" s="9" t="n">
        <f aca="false">(G940+H940+I940)/E940</f>
        <v>0.0395820946232906</v>
      </c>
    </row>
    <row r="941" customFormat="false" ht="14.25" hidden="false" customHeight="true" outlineLevel="0" collapsed="false">
      <c r="A941" s="5" t="s">
        <v>965</v>
      </c>
      <c r="B941" s="5" t="s">
        <v>14</v>
      </c>
      <c r="C941" s="6" t="n">
        <v>45450</v>
      </c>
      <c r="D941" s="5" t="s">
        <v>19</v>
      </c>
      <c r="E941" s="7" t="n">
        <v>9924</v>
      </c>
      <c r="F941" s="7" t="n">
        <v>6406</v>
      </c>
      <c r="G941" s="7" t="n">
        <v>92</v>
      </c>
      <c r="H941" s="7" t="n">
        <v>42</v>
      </c>
      <c r="I941" s="7" t="n">
        <v>147</v>
      </c>
      <c r="J941" s="8" t="n">
        <v>4.39</v>
      </c>
      <c r="K941" s="9" t="n">
        <f aca="false">(G941+H941+I941)/E941</f>
        <v>0.0283151954856913</v>
      </c>
    </row>
    <row r="942" customFormat="false" ht="14.25" hidden="false" customHeight="true" outlineLevel="0" collapsed="false">
      <c r="A942" s="5" t="s">
        <v>966</v>
      </c>
      <c r="B942" s="5" t="s">
        <v>25</v>
      </c>
      <c r="C942" s="6" t="n">
        <v>45974</v>
      </c>
      <c r="D942" s="5" t="s">
        <v>23</v>
      </c>
      <c r="E942" s="7" t="n">
        <v>39904</v>
      </c>
      <c r="F942" s="7" t="n">
        <v>19181</v>
      </c>
      <c r="G942" s="7" t="n">
        <v>2144</v>
      </c>
      <c r="H942" s="7" t="n">
        <v>430</v>
      </c>
      <c r="I942" s="7" t="n">
        <v>436</v>
      </c>
      <c r="J942" s="8" t="n">
        <v>15.69</v>
      </c>
      <c r="K942" s="9" t="n">
        <f aca="false">(G942+H942+I942)/E942</f>
        <v>0.0754310344827586</v>
      </c>
    </row>
    <row r="943" customFormat="false" ht="14.25" hidden="false" customHeight="true" outlineLevel="0" collapsed="false">
      <c r="A943" s="5" t="s">
        <v>967</v>
      </c>
      <c r="B943" s="5" t="s">
        <v>14</v>
      </c>
      <c r="C943" s="6" t="n">
        <v>45532</v>
      </c>
      <c r="D943" s="5" t="s">
        <v>23</v>
      </c>
      <c r="E943" s="7" t="n">
        <v>22877</v>
      </c>
      <c r="F943" s="7" t="n">
        <v>9782</v>
      </c>
      <c r="G943" s="7" t="n">
        <v>128</v>
      </c>
      <c r="H943" s="7" t="n">
        <v>195</v>
      </c>
      <c r="I943" s="7" t="n">
        <v>169</v>
      </c>
      <c r="J943" s="8" t="n">
        <v>5.03</v>
      </c>
      <c r="K943" s="9" t="n">
        <f aca="false">(G943+H943+I943)/E943</f>
        <v>0.0215063163876382</v>
      </c>
    </row>
    <row r="944" customFormat="false" ht="14.25" hidden="false" customHeight="true" outlineLevel="0" collapsed="false">
      <c r="A944" s="5" t="s">
        <v>968</v>
      </c>
      <c r="B944" s="5" t="s">
        <v>25</v>
      </c>
      <c r="C944" s="6" t="n">
        <v>45854</v>
      </c>
      <c r="D944" s="5" t="s">
        <v>23</v>
      </c>
      <c r="E944" s="7" t="n">
        <v>252248</v>
      </c>
      <c r="F944" s="7" t="n">
        <v>168800</v>
      </c>
      <c r="G944" s="7" t="n">
        <v>9359</v>
      </c>
      <c r="H944" s="7" t="n">
        <v>2215</v>
      </c>
      <c r="I944" s="7" t="n">
        <v>2569</v>
      </c>
      <c r="J944" s="8" t="n">
        <v>8.38</v>
      </c>
      <c r="K944" s="9" t="n">
        <f aca="false">(G944+H944+I944)/E944</f>
        <v>0.0560678380006977</v>
      </c>
    </row>
    <row r="945" customFormat="false" ht="14.25" hidden="false" customHeight="true" outlineLevel="0" collapsed="false">
      <c r="A945" s="5" t="s">
        <v>969</v>
      </c>
      <c r="B945" s="5" t="s">
        <v>22</v>
      </c>
      <c r="C945" s="6" t="n">
        <v>45605</v>
      </c>
      <c r="D945" s="5" t="s">
        <v>19</v>
      </c>
      <c r="E945" s="7" t="n">
        <v>16226</v>
      </c>
      <c r="F945" s="7" t="n">
        <v>13962</v>
      </c>
      <c r="G945" s="7" t="n">
        <v>281</v>
      </c>
      <c r="H945" s="7" t="n">
        <v>89</v>
      </c>
      <c r="I945" s="7" t="n">
        <v>44</v>
      </c>
      <c r="J945" s="8" t="n">
        <v>2.97</v>
      </c>
      <c r="K945" s="9" t="n">
        <f aca="false">(G945+H945+I945)/E945</f>
        <v>0.0255146061876002</v>
      </c>
    </row>
    <row r="946" customFormat="false" ht="14.25" hidden="false" customHeight="true" outlineLevel="0" collapsed="false">
      <c r="A946" s="5" t="s">
        <v>970</v>
      </c>
      <c r="B946" s="5" t="s">
        <v>33</v>
      </c>
      <c r="C946" s="6" t="n">
        <v>45788</v>
      </c>
      <c r="D946" s="5" t="s">
        <v>15</v>
      </c>
      <c r="E946" s="7" t="n">
        <v>5362</v>
      </c>
      <c r="F946" s="7" t="n">
        <v>3547</v>
      </c>
      <c r="G946" s="7" t="n">
        <v>98</v>
      </c>
      <c r="H946" s="7" t="n">
        <v>26</v>
      </c>
      <c r="I946" s="7" t="n">
        <v>27</v>
      </c>
      <c r="J946" s="8" t="n">
        <v>4.26</v>
      </c>
      <c r="K946" s="9" t="n">
        <f aca="false">(G946+H946+I946)/E946</f>
        <v>0.0281611339052592</v>
      </c>
    </row>
    <row r="947" customFormat="false" ht="14.25" hidden="false" customHeight="true" outlineLevel="0" collapsed="false">
      <c r="A947" s="5" t="s">
        <v>971</v>
      </c>
      <c r="B947" s="5" t="s">
        <v>14</v>
      </c>
      <c r="C947" s="6" t="n">
        <v>45900</v>
      </c>
      <c r="D947" s="5" t="s">
        <v>28</v>
      </c>
      <c r="E947" s="7" t="n">
        <v>43568</v>
      </c>
      <c r="F947" s="7" t="n">
        <v>28301</v>
      </c>
      <c r="G947" s="7" t="n">
        <v>1119</v>
      </c>
      <c r="H947" s="7" t="n">
        <v>376</v>
      </c>
      <c r="I947" s="7" t="n">
        <v>362</v>
      </c>
      <c r="J947" s="8" t="n">
        <v>6.56</v>
      </c>
      <c r="K947" s="9" t="n">
        <f aca="false">(G947+H947+I947)/E947</f>
        <v>0.0426230260741829</v>
      </c>
    </row>
    <row r="948" customFormat="false" ht="14.25" hidden="false" customHeight="true" outlineLevel="0" collapsed="false">
      <c r="A948" s="5" t="s">
        <v>972</v>
      </c>
      <c r="B948" s="5" t="s">
        <v>33</v>
      </c>
      <c r="C948" s="6" t="n">
        <v>45373</v>
      </c>
      <c r="D948" s="5" t="s">
        <v>23</v>
      </c>
      <c r="E948" s="7" t="n">
        <v>7280</v>
      </c>
      <c r="F948" s="7" t="n">
        <v>3066</v>
      </c>
      <c r="G948" s="7" t="n">
        <v>61</v>
      </c>
      <c r="H948" s="7" t="n">
        <v>73</v>
      </c>
      <c r="I948" s="7" t="n">
        <v>23</v>
      </c>
      <c r="J948" s="8" t="n">
        <v>5.12</v>
      </c>
      <c r="K948" s="9" t="n">
        <f aca="false">(G948+H948+I948)/E948</f>
        <v>0.0215659340659341</v>
      </c>
    </row>
    <row r="949" customFormat="false" ht="14.25" hidden="false" customHeight="true" outlineLevel="0" collapsed="false">
      <c r="A949" s="5" t="s">
        <v>973</v>
      </c>
      <c r="B949" s="5" t="s">
        <v>22</v>
      </c>
      <c r="C949" s="6" t="n">
        <v>45659</v>
      </c>
      <c r="D949" s="5" t="s">
        <v>15</v>
      </c>
      <c r="E949" s="7" t="n">
        <v>10413</v>
      </c>
      <c r="F949" s="7" t="n">
        <v>8906</v>
      </c>
      <c r="G949" s="7" t="n">
        <v>137</v>
      </c>
      <c r="H949" s="7" t="n">
        <v>39</v>
      </c>
      <c r="I949" s="7" t="n">
        <v>24</v>
      </c>
      <c r="J949" s="8" t="n">
        <v>2.25</v>
      </c>
      <c r="K949" s="9" t="n">
        <f aca="false">(G949+H949+I949)/E949</f>
        <v>0.0192067607797945</v>
      </c>
    </row>
    <row r="950" customFormat="false" ht="14.25" hidden="false" customHeight="true" outlineLevel="0" collapsed="false">
      <c r="A950" s="5" t="s">
        <v>974</v>
      </c>
      <c r="B950" s="5" t="s">
        <v>18</v>
      </c>
      <c r="C950" s="6" t="n">
        <v>45374</v>
      </c>
      <c r="D950" s="5" t="s">
        <v>23</v>
      </c>
      <c r="E950" s="7" t="n">
        <v>15038</v>
      </c>
      <c r="F950" s="7" t="n">
        <v>8320</v>
      </c>
      <c r="G950" s="7" t="n">
        <v>337</v>
      </c>
      <c r="H950" s="7" t="n">
        <v>96</v>
      </c>
      <c r="I950" s="7" t="n">
        <v>53</v>
      </c>
      <c r="J950" s="8" t="n">
        <v>5.84</v>
      </c>
      <c r="K950" s="9" t="n">
        <f aca="false">(G950+H950+I950)/E950</f>
        <v>0.0323181274105599</v>
      </c>
    </row>
    <row r="951" customFormat="false" ht="14.25" hidden="false" customHeight="true" outlineLevel="0" collapsed="false">
      <c r="A951" s="5" t="s">
        <v>975</v>
      </c>
      <c r="B951" s="5" t="s">
        <v>25</v>
      </c>
      <c r="C951" s="6" t="n">
        <v>45900</v>
      </c>
      <c r="D951" s="5" t="s">
        <v>26</v>
      </c>
      <c r="E951" s="7" t="n">
        <v>245722</v>
      </c>
      <c r="F951" s="7" t="n">
        <v>96249</v>
      </c>
      <c r="G951" s="7" t="n">
        <v>10979</v>
      </c>
      <c r="H951" s="7" t="n">
        <v>1999</v>
      </c>
      <c r="I951" s="7" t="n">
        <v>4264</v>
      </c>
      <c r="J951" s="8" t="n">
        <v>17.91</v>
      </c>
      <c r="K951" s="9" t="n">
        <f aca="false">(G951+H951+I951)/E951</f>
        <v>0.0701687272608883</v>
      </c>
    </row>
    <row r="952" customFormat="false" ht="14.25" hidden="false" customHeight="true" outlineLevel="0" collapsed="false">
      <c r="A952" s="5" t="s">
        <v>976</v>
      </c>
      <c r="B952" s="5" t="s">
        <v>22</v>
      </c>
      <c r="C952" s="6" t="n">
        <v>45528</v>
      </c>
      <c r="D952" s="5" t="s">
        <v>15</v>
      </c>
      <c r="E952" s="7" t="n">
        <v>11451</v>
      </c>
      <c r="F952" s="7" t="n">
        <v>5857</v>
      </c>
      <c r="G952" s="7" t="n">
        <v>49</v>
      </c>
      <c r="H952" s="7" t="n">
        <v>26</v>
      </c>
      <c r="I952" s="7" t="n">
        <v>61</v>
      </c>
      <c r="J952" s="8" t="n">
        <v>2.32</v>
      </c>
      <c r="K952" s="9" t="n">
        <f aca="false">(G952+H952+I952)/E952</f>
        <v>0.0118766919919658</v>
      </c>
    </row>
    <row r="953" customFormat="false" ht="14.25" hidden="false" customHeight="true" outlineLevel="0" collapsed="false">
      <c r="A953" s="5" t="s">
        <v>977</v>
      </c>
      <c r="B953" s="5" t="s">
        <v>14</v>
      </c>
      <c r="C953" s="6" t="n">
        <v>45590</v>
      </c>
      <c r="D953" s="5" t="s">
        <v>19</v>
      </c>
      <c r="E953" s="7" t="n">
        <v>5966</v>
      </c>
      <c r="F953" s="7" t="n">
        <v>3019</v>
      </c>
      <c r="G953" s="7" t="n">
        <v>50</v>
      </c>
      <c r="H953" s="7" t="n">
        <v>58</v>
      </c>
      <c r="I953" s="7" t="n">
        <v>27</v>
      </c>
      <c r="J953" s="8" t="n">
        <v>4.47</v>
      </c>
      <c r="K953" s="9" t="n">
        <f aca="false">(G953+H953+I953)/E953</f>
        <v>0.0226282266174992</v>
      </c>
    </row>
    <row r="954" customFormat="false" ht="14.25" hidden="false" customHeight="true" outlineLevel="0" collapsed="false">
      <c r="A954" s="5" t="s">
        <v>978</v>
      </c>
      <c r="B954" s="5" t="s">
        <v>33</v>
      </c>
      <c r="C954" s="6" t="n">
        <v>45853</v>
      </c>
      <c r="D954" s="5" t="s">
        <v>23</v>
      </c>
      <c r="E954" s="7" t="n">
        <v>47465</v>
      </c>
      <c r="F954" s="7" t="n">
        <v>37269</v>
      </c>
      <c r="G954" s="7" t="n">
        <v>1872</v>
      </c>
      <c r="H954" s="7" t="n">
        <v>551</v>
      </c>
      <c r="I954" s="7" t="n">
        <v>334</v>
      </c>
      <c r="J954" s="8" t="n">
        <v>7.4</v>
      </c>
      <c r="K954" s="9" t="n">
        <f aca="false">(G954+H954+I954)/E954</f>
        <v>0.0580849046665964</v>
      </c>
    </row>
    <row r="955" customFormat="false" ht="14.25" hidden="false" customHeight="true" outlineLevel="0" collapsed="false">
      <c r="A955" s="5" t="s">
        <v>979</v>
      </c>
      <c r="B955" s="5" t="s">
        <v>22</v>
      </c>
      <c r="C955" s="6" t="n">
        <v>45575</v>
      </c>
      <c r="D955" s="5" t="s">
        <v>23</v>
      </c>
      <c r="E955" s="7" t="n">
        <v>746</v>
      </c>
      <c r="F955" s="7" t="n">
        <v>392</v>
      </c>
      <c r="G955" s="7" t="n">
        <v>6</v>
      </c>
      <c r="H955" s="7" t="n">
        <v>0</v>
      </c>
      <c r="I955" s="7" t="n">
        <v>3</v>
      </c>
      <c r="J955" s="8" t="n">
        <v>2.3</v>
      </c>
      <c r="K955" s="9" t="n">
        <f aca="false">(G955+H955+I955)/E955</f>
        <v>0.0120643431635389</v>
      </c>
    </row>
    <row r="956" customFormat="false" ht="14.25" hidden="false" customHeight="true" outlineLevel="0" collapsed="false">
      <c r="A956" s="5" t="s">
        <v>980</v>
      </c>
      <c r="B956" s="5" t="s">
        <v>18</v>
      </c>
      <c r="C956" s="6" t="n">
        <v>45403</v>
      </c>
      <c r="D956" s="5" t="s">
        <v>26</v>
      </c>
      <c r="E956" s="7" t="n">
        <v>49179</v>
      </c>
      <c r="F956" s="7" t="n">
        <v>19677</v>
      </c>
      <c r="G956" s="7" t="n">
        <v>1531</v>
      </c>
      <c r="H956" s="7" t="n">
        <v>57</v>
      </c>
      <c r="I956" s="7" t="n">
        <v>42</v>
      </c>
      <c r="J956" s="8" t="n">
        <v>8.28</v>
      </c>
      <c r="K956" s="9" t="n">
        <f aca="false">(G956+H956+I956)/E956</f>
        <v>0.0331442282274955</v>
      </c>
    </row>
    <row r="957" customFormat="false" ht="14.25" hidden="false" customHeight="true" outlineLevel="0" collapsed="false">
      <c r="A957" s="5" t="s">
        <v>981</v>
      </c>
      <c r="B957" s="5" t="s">
        <v>14</v>
      </c>
      <c r="C957" s="6" t="n">
        <v>45436</v>
      </c>
      <c r="D957" s="5" t="s">
        <v>15</v>
      </c>
      <c r="E957" s="7" t="n">
        <v>6392</v>
      </c>
      <c r="F957" s="7" t="n">
        <v>2878</v>
      </c>
      <c r="G957" s="7" t="n">
        <v>100</v>
      </c>
      <c r="H957" s="7" t="n">
        <v>41</v>
      </c>
      <c r="I957" s="7" t="n">
        <v>60</v>
      </c>
      <c r="J957" s="8" t="n">
        <v>6.98</v>
      </c>
      <c r="K957" s="9" t="n">
        <f aca="false">(G957+H957+I957)/E957</f>
        <v>0.0314455569461827</v>
      </c>
    </row>
    <row r="958" customFormat="false" ht="14.25" hidden="false" customHeight="true" outlineLevel="0" collapsed="false">
      <c r="A958" s="5" t="s">
        <v>982</v>
      </c>
      <c r="B958" s="5" t="s">
        <v>33</v>
      </c>
      <c r="C958" s="6" t="n">
        <v>45451</v>
      </c>
      <c r="D958" s="5" t="s">
        <v>19</v>
      </c>
      <c r="E958" s="7" t="n">
        <v>13214</v>
      </c>
      <c r="F958" s="7" t="n">
        <v>9289</v>
      </c>
      <c r="G958" s="7" t="n">
        <v>463</v>
      </c>
      <c r="H958" s="7" t="n">
        <v>159</v>
      </c>
      <c r="I958" s="7" t="n">
        <v>137</v>
      </c>
      <c r="J958" s="8" t="n">
        <v>8.17</v>
      </c>
      <c r="K958" s="9" t="n">
        <f aca="false">(G958+H958+I958)/E958</f>
        <v>0.0574390797638868</v>
      </c>
    </row>
    <row r="959" customFormat="false" ht="14.25" hidden="false" customHeight="true" outlineLevel="0" collapsed="false">
      <c r="A959" s="5" t="s">
        <v>983</v>
      </c>
      <c r="B959" s="5" t="s">
        <v>25</v>
      </c>
      <c r="C959" s="6" t="n">
        <v>45722</v>
      </c>
      <c r="D959" s="5" t="s">
        <v>23</v>
      </c>
      <c r="E959" s="7" t="n">
        <v>273634</v>
      </c>
      <c r="F959" s="7" t="n">
        <v>133368</v>
      </c>
      <c r="G959" s="7" t="n">
        <v>9781</v>
      </c>
      <c r="H959" s="7" t="n">
        <v>3873</v>
      </c>
      <c r="I959" s="7" t="n">
        <v>5187</v>
      </c>
      <c r="J959" s="8" t="n">
        <v>14.13</v>
      </c>
      <c r="K959" s="9" t="n">
        <f aca="false">(G959+H959+I959)/E959</f>
        <v>0.0688547475825373</v>
      </c>
    </row>
    <row r="960" customFormat="false" ht="14.25" hidden="false" customHeight="true" outlineLevel="0" collapsed="false">
      <c r="A960" s="5" t="s">
        <v>984</v>
      </c>
      <c r="B960" s="5" t="s">
        <v>22</v>
      </c>
      <c r="C960" s="6" t="n">
        <v>45649</v>
      </c>
      <c r="D960" s="5" t="s">
        <v>19</v>
      </c>
      <c r="E960" s="7" t="n">
        <v>7961</v>
      </c>
      <c r="F960" s="7" t="n">
        <v>6392</v>
      </c>
      <c r="G960" s="7" t="n">
        <v>73</v>
      </c>
      <c r="H960" s="7" t="n">
        <v>7</v>
      </c>
      <c r="I960" s="7" t="n">
        <v>101</v>
      </c>
      <c r="J960" s="8" t="n">
        <v>2.83</v>
      </c>
      <c r="K960" s="9" t="n">
        <f aca="false">(G960+H960+I960)/E960</f>
        <v>0.0227358372063811</v>
      </c>
    </row>
    <row r="961" customFormat="false" ht="14.25" hidden="false" customHeight="true" outlineLevel="0" collapsed="false">
      <c r="A961" s="5" t="s">
        <v>985</v>
      </c>
      <c r="B961" s="5" t="s">
        <v>18</v>
      </c>
      <c r="C961" s="6" t="n">
        <v>45297</v>
      </c>
      <c r="D961" s="5" t="s">
        <v>23</v>
      </c>
      <c r="E961" s="7" t="n">
        <v>12719</v>
      </c>
      <c r="F961" s="7" t="n">
        <v>5518</v>
      </c>
      <c r="G961" s="7" t="n">
        <v>325</v>
      </c>
      <c r="H961" s="7" t="n">
        <v>40</v>
      </c>
      <c r="I961" s="7" t="n">
        <v>21</v>
      </c>
      <c r="J961" s="8" t="n">
        <v>7</v>
      </c>
      <c r="K961" s="9" t="n">
        <f aca="false">(G961+H961+I961)/E961</f>
        <v>0.0303482978221558</v>
      </c>
    </row>
    <row r="962" customFormat="false" ht="14.25" hidden="false" customHeight="true" outlineLevel="0" collapsed="false">
      <c r="A962" s="5" t="s">
        <v>986</v>
      </c>
      <c r="B962" s="5" t="s">
        <v>18</v>
      </c>
      <c r="C962" s="6" t="n">
        <v>45475</v>
      </c>
      <c r="D962" s="5" t="s">
        <v>19</v>
      </c>
      <c r="E962" s="7" t="n">
        <v>21544</v>
      </c>
      <c r="F962" s="7" t="n">
        <v>13950</v>
      </c>
      <c r="G962" s="7" t="n">
        <v>297</v>
      </c>
      <c r="H962" s="7" t="n">
        <v>111</v>
      </c>
      <c r="I962" s="7" t="n">
        <v>107</v>
      </c>
      <c r="J962" s="8" t="n">
        <v>3.69</v>
      </c>
      <c r="K962" s="9" t="n">
        <f aca="false">(G962+H962+I962)/E962</f>
        <v>0.0239045673969551</v>
      </c>
    </row>
    <row r="963" customFormat="false" ht="14.25" hidden="false" customHeight="true" outlineLevel="0" collapsed="false">
      <c r="A963" s="5" t="s">
        <v>987</v>
      </c>
      <c r="B963" s="5" t="s">
        <v>18</v>
      </c>
      <c r="C963" s="6" t="n">
        <v>45946</v>
      </c>
      <c r="D963" s="5" t="s">
        <v>23</v>
      </c>
      <c r="E963" s="7" t="n">
        <v>99969</v>
      </c>
      <c r="F963" s="7" t="n">
        <v>42551</v>
      </c>
      <c r="G963" s="7" t="n">
        <v>1344</v>
      </c>
      <c r="H963" s="7" t="n">
        <v>311</v>
      </c>
      <c r="I963" s="7" t="n">
        <v>284</v>
      </c>
      <c r="J963" s="8" t="n">
        <v>4.56</v>
      </c>
      <c r="K963" s="9" t="n">
        <f aca="false">(G963+H963+I963)/E963</f>
        <v>0.0193960127639568</v>
      </c>
    </row>
    <row r="964" customFormat="false" ht="14.25" hidden="false" customHeight="true" outlineLevel="0" collapsed="false">
      <c r="A964" s="5" t="s">
        <v>988</v>
      </c>
      <c r="B964" s="5" t="s">
        <v>25</v>
      </c>
      <c r="C964" s="6" t="n">
        <v>45578</v>
      </c>
      <c r="D964" s="5" t="s">
        <v>26</v>
      </c>
      <c r="E964" s="7" t="n">
        <v>277010</v>
      </c>
      <c r="F964" s="7" t="n">
        <v>138818</v>
      </c>
      <c r="G964" s="7" t="n">
        <v>5929</v>
      </c>
      <c r="H964" s="7" t="n">
        <v>4065</v>
      </c>
      <c r="I964" s="7" t="n">
        <v>5079</v>
      </c>
      <c r="J964" s="8" t="n">
        <v>10.86</v>
      </c>
      <c r="K964" s="9" t="n">
        <f aca="false">(G964+H964+I964)/E964</f>
        <v>0.0544131980794917</v>
      </c>
    </row>
    <row r="965" customFormat="false" ht="14.25" hidden="false" customHeight="true" outlineLevel="0" collapsed="false">
      <c r="A965" s="5" t="s">
        <v>989</v>
      </c>
      <c r="B965" s="5" t="s">
        <v>14</v>
      </c>
      <c r="C965" s="6" t="n">
        <v>45742</v>
      </c>
      <c r="D965" s="5" t="s">
        <v>23</v>
      </c>
      <c r="E965" s="7" t="n">
        <v>14165</v>
      </c>
      <c r="F965" s="7" t="n">
        <v>9162</v>
      </c>
      <c r="G965" s="7" t="n">
        <v>147</v>
      </c>
      <c r="H965" s="7" t="n">
        <v>94</v>
      </c>
      <c r="I965" s="7" t="n">
        <v>176</v>
      </c>
      <c r="J965" s="8" t="n">
        <v>4.55</v>
      </c>
      <c r="K965" s="9" t="n">
        <f aca="false">(G965+H965+I965)/E965</f>
        <v>0.0294387575008825</v>
      </c>
    </row>
    <row r="966" customFormat="false" ht="14.25" hidden="false" customHeight="true" outlineLevel="0" collapsed="false">
      <c r="A966" s="5" t="s">
        <v>990</v>
      </c>
      <c r="B966" s="5" t="s">
        <v>18</v>
      </c>
      <c r="C966" s="6" t="n">
        <v>45428</v>
      </c>
      <c r="D966" s="5" t="s">
        <v>23</v>
      </c>
      <c r="E966" s="7" t="n">
        <v>62223</v>
      </c>
      <c r="F966" s="7" t="n">
        <v>34365</v>
      </c>
      <c r="G966" s="7" t="n">
        <v>2184</v>
      </c>
      <c r="H966" s="7" t="n">
        <v>233</v>
      </c>
      <c r="I966" s="7" t="n">
        <v>155</v>
      </c>
      <c r="J966" s="8" t="n">
        <v>7.48</v>
      </c>
      <c r="K966" s="9" t="n">
        <f aca="false">(G966+H966+I966)/E966</f>
        <v>0.0413351975957443</v>
      </c>
    </row>
    <row r="967" customFormat="false" ht="14.25" hidden="false" customHeight="true" outlineLevel="0" collapsed="false">
      <c r="A967" s="5" t="s">
        <v>991</v>
      </c>
      <c r="B967" s="5" t="s">
        <v>25</v>
      </c>
      <c r="C967" s="6" t="n">
        <v>45747</v>
      </c>
      <c r="D967" s="5" t="s">
        <v>23</v>
      </c>
      <c r="E967" s="7" t="n">
        <v>376541</v>
      </c>
      <c r="F967" s="7" t="n">
        <v>148247</v>
      </c>
      <c r="G967" s="7" t="n">
        <v>17640</v>
      </c>
      <c r="H967" s="7" t="n">
        <v>4413</v>
      </c>
      <c r="I967" s="7" t="n">
        <v>5267</v>
      </c>
      <c r="J967" s="8" t="n">
        <v>18.43</v>
      </c>
      <c r="K967" s="9" t="n">
        <f aca="false">(G967+H967+I967)/E967</f>
        <v>0.0725551799140067</v>
      </c>
    </row>
    <row r="968" customFormat="false" ht="14.25" hidden="false" customHeight="true" outlineLevel="0" collapsed="false">
      <c r="A968" s="5" t="s">
        <v>992</v>
      </c>
      <c r="B968" s="5" t="s">
        <v>14</v>
      </c>
      <c r="C968" s="6" t="n">
        <v>45662</v>
      </c>
      <c r="D968" s="5" t="s">
        <v>19</v>
      </c>
      <c r="E968" s="7" t="n">
        <v>6165</v>
      </c>
      <c r="F968" s="7" t="n">
        <v>2175</v>
      </c>
      <c r="G968" s="7" t="n">
        <v>64</v>
      </c>
      <c r="H968" s="7" t="n">
        <v>15</v>
      </c>
      <c r="I968" s="7" t="n">
        <v>64</v>
      </c>
      <c r="J968" s="8" t="n">
        <v>6.57</v>
      </c>
      <c r="K968" s="9" t="n">
        <f aca="false">(G968+H968+I968)/E968</f>
        <v>0.0231954582319546</v>
      </c>
    </row>
    <row r="969" customFormat="false" ht="14.25" hidden="false" customHeight="true" outlineLevel="0" collapsed="false">
      <c r="A969" s="5" t="s">
        <v>993</v>
      </c>
      <c r="B969" s="5" t="s">
        <v>22</v>
      </c>
      <c r="C969" s="6" t="n">
        <v>45639</v>
      </c>
      <c r="D969" s="5" t="s">
        <v>15</v>
      </c>
      <c r="E969" s="7" t="n">
        <v>23521</v>
      </c>
      <c r="F969" s="7" t="n">
        <v>20054</v>
      </c>
      <c r="G969" s="7" t="n">
        <v>160</v>
      </c>
      <c r="H969" s="7" t="n">
        <v>111</v>
      </c>
      <c r="I969" s="7" t="n">
        <v>185</v>
      </c>
      <c r="J969" s="8" t="n">
        <v>2.27</v>
      </c>
      <c r="K969" s="9" t="n">
        <f aca="false">(G969+H969+I969)/E969</f>
        <v>0.0193869308277709</v>
      </c>
    </row>
    <row r="970" customFormat="false" ht="14.25" hidden="false" customHeight="true" outlineLevel="0" collapsed="false">
      <c r="A970" s="5" t="s">
        <v>994</v>
      </c>
      <c r="B970" s="5" t="s">
        <v>33</v>
      </c>
      <c r="C970" s="6" t="n">
        <v>45430</v>
      </c>
      <c r="D970" s="5" t="s">
        <v>28</v>
      </c>
      <c r="E970" s="7" t="n">
        <v>9282</v>
      </c>
      <c r="F970" s="7" t="n">
        <v>5962</v>
      </c>
      <c r="G970" s="7" t="n">
        <v>234</v>
      </c>
      <c r="H970" s="7" t="n">
        <v>75</v>
      </c>
      <c r="I970" s="7" t="n">
        <v>42</v>
      </c>
      <c r="J970" s="8" t="n">
        <v>5.89</v>
      </c>
      <c r="K970" s="9" t="n">
        <f aca="false">(G970+H970+I970)/E970</f>
        <v>0.0378151260504202</v>
      </c>
    </row>
    <row r="971" customFormat="false" ht="14.25" hidden="false" customHeight="true" outlineLevel="0" collapsed="false">
      <c r="A971" s="5" t="s">
        <v>995</v>
      </c>
      <c r="B971" s="5" t="s">
        <v>22</v>
      </c>
      <c r="C971" s="6" t="n">
        <v>45829</v>
      </c>
      <c r="D971" s="5" t="s">
        <v>23</v>
      </c>
      <c r="E971" s="7" t="n">
        <v>26423</v>
      </c>
      <c r="F971" s="7" t="n">
        <v>15975</v>
      </c>
      <c r="G971" s="7" t="n">
        <v>282</v>
      </c>
      <c r="H971" s="7" t="n">
        <v>23</v>
      </c>
      <c r="I971" s="7" t="n">
        <v>257</v>
      </c>
      <c r="J971" s="8" t="n">
        <v>3.52</v>
      </c>
      <c r="K971" s="9" t="n">
        <f aca="false">(G971+H971+I971)/E971</f>
        <v>0.0212693486735041</v>
      </c>
    </row>
    <row r="972" customFormat="false" ht="14.25" hidden="false" customHeight="true" outlineLevel="0" collapsed="false">
      <c r="A972" s="5" t="s">
        <v>996</v>
      </c>
      <c r="B972" s="5" t="s">
        <v>22</v>
      </c>
      <c r="C972" s="6" t="n">
        <v>45957</v>
      </c>
      <c r="D972" s="5" t="s">
        <v>19</v>
      </c>
      <c r="E972" s="7" t="n">
        <v>5462</v>
      </c>
      <c r="F972" s="7" t="n">
        <v>3524</v>
      </c>
      <c r="G972" s="7" t="n">
        <v>103</v>
      </c>
      <c r="H972" s="7" t="n">
        <v>11</v>
      </c>
      <c r="I972" s="7" t="n">
        <v>31</v>
      </c>
      <c r="J972" s="8" t="n">
        <v>4.11</v>
      </c>
      <c r="K972" s="9" t="n">
        <f aca="false">(G972+H972+I972)/E972</f>
        <v>0.0265470523617722</v>
      </c>
    </row>
    <row r="973" customFormat="false" ht="14.25" hidden="false" customHeight="true" outlineLevel="0" collapsed="false">
      <c r="A973" s="5" t="s">
        <v>997</v>
      </c>
      <c r="B973" s="5" t="s">
        <v>22</v>
      </c>
      <c r="C973" s="6" t="n">
        <v>45941</v>
      </c>
      <c r="D973" s="5" t="s">
        <v>15</v>
      </c>
      <c r="E973" s="7" t="n">
        <v>9373</v>
      </c>
      <c r="F973" s="7" t="n">
        <v>6591</v>
      </c>
      <c r="G973" s="7" t="n">
        <v>156</v>
      </c>
      <c r="H973" s="7" t="n">
        <v>10</v>
      </c>
      <c r="I973" s="7" t="n">
        <v>98</v>
      </c>
      <c r="J973" s="8" t="n">
        <v>4.01</v>
      </c>
      <c r="K973" s="9" t="n">
        <f aca="false">(G973+H973+I973)/E973</f>
        <v>0.028166008748533</v>
      </c>
    </row>
    <row r="974" customFormat="false" ht="14.25" hidden="false" customHeight="true" outlineLevel="0" collapsed="false">
      <c r="A974" s="5" t="s">
        <v>998</v>
      </c>
      <c r="B974" s="5" t="s">
        <v>33</v>
      </c>
      <c r="C974" s="6" t="n">
        <v>45652</v>
      </c>
      <c r="D974" s="5" t="s">
        <v>23</v>
      </c>
      <c r="E974" s="7" t="n">
        <v>11118</v>
      </c>
      <c r="F974" s="7" t="n">
        <v>5229</v>
      </c>
      <c r="G974" s="7" t="n">
        <v>196</v>
      </c>
      <c r="H974" s="7" t="n">
        <v>30</v>
      </c>
      <c r="I974" s="7" t="n">
        <v>69</v>
      </c>
      <c r="J974" s="8" t="n">
        <v>5.64</v>
      </c>
      <c r="K974" s="9" t="n">
        <f aca="false">(G974+H974+I974)/E974</f>
        <v>0.0265335491994963</v>
      </c>
    </row>
    <row r="975" customFormat="false" ht="14.25" hidden="false" customHeight="true" outlineLevel="0" collapsed="false">
      <c r="A975" s="5" t="s">
        <v>999</v>
      </c>
      <c r="B975" s="5" t="s">
        <v>18</v>
      </c>
      <c r="C975" s="6" t="n">
        <v>45760</v>
      </c>
      <c r="D975" s="5" t="s">
        <v>28</v>
      </c>
      <c r="E975" s="7" t="n">
        <v>20217</v>
      </c>
      <c r="F975" s="7" t="n">
        <v>8590</v>
      </c>
      <c r="G975" s="7" t="n">
        <v>355</v>
      </c>
      <c r="H975" s="7" t="n">
        <v>91</v>
      </c>
      <c r="I975" s="7" t="n">
        <v>84</v>
      </c>
      <c r="J975" s="8" t="n">
        <v>6.17</v>
      </c>
      <c r="K975" s="9" t="n">
        <f aca="false">(G975+H975+I975)/E975</f>
        <v>0.0262155611613988</v>
      </c>
    </row>
    <row r="976" customFormat="false" ht="14.25" hidden="false" customHeight="true" outlineLevel="0" collapsed="false">
      <c r="A976" s="5" t="s">
        <v>1000</v>
      </c>
      <c r="B976" s="5" t="s">
        <v>33</v>
      </c>
      <c r="C976" s="6" t="n">
        <v>45916</v>
      </c>
      <c r="D976" s="5" t="s">
        <v>28</v>
      </c>
      <c r="E976" s="7" t="n">
        <v>27250</v>
      </c>
      <c r="F976" s="7" t="n">
        <v>16118</v>
      </c>
      <c r="G976" s="7" t="n">
        <v>527</v>
      </c>
      <c r="H976" s="7" t="n">
        <v>269</v>
      </c>
      <c r="I976" s="7" t="n">
        <v>143</v>
      </c>
      <c r="J976" s="8" t="n">
        <v>5.83</v>
      </c>
      <c r="K976" s="9" t="n">
        <f aca="false">(G976+H976+I976)/E976</f>
        <v>0.0344587155963303</v>
      </c>
    </row>
    <row r="977" customFormat="false" ht="14.25" hidden="false" customHeight="true" outlineLevel="0" collapsed="false">
      <c r="A977" s="5" t="s">
        <v>1001</v>
      </c>
      <c r="B977" s="5" t="s">
        <v>33</v>
      </c>
      <c r="C977" s="6" t="n">
        <v>45517</v>
      </c>
      <c r="D977" s="5" t="s">
        <v>15</v>
      </c>
      <c r="E977" s="7" t="n">
        <v>11600</v>
      </c>
      <c r="F977" s="7" t="n">
        <v>4905</v>
      </c>
      <c r="G977" s="7" t="n">
        <v>284</v>
      </c>
      <c r="H977" s="7" t="n">
        <v>73</v>
      </c>
      <c r="I977" s="7" t="n">
        <v>34</v>
      </c>
      <c r="J977" s="8" t="n">
        <v>7.97</v>
      </c>
      <c r="K977" s="9" t="n">
        <f aca="false">(G977+H977+I977)/E977</f>
        <v>0.0337068965517241</v>
      </c>
    </row>
    <row r="978" customFormat="false" ht="14.25" hidden="false" customHeight="true" outlineLevel="0" collapsed="false">
      <c r="A978" s="5" t="s">
        <v>1002</v>
      </c>
      <c r="B978" s="5" t="s">
        <v>25</v>
      </c>
      <c r="C978" s="6" t="n">
        <v>45517</v>
      </c>
      <c r="D978" s="5" t="s">
        <v>23</v>
      </c>
      <c r="E978" s="7" t="n">
        <v>422218</v>
      </c>
      <c r="F978" s="7" t="n">
        <v>218271</v>
      </c>
      <c r="G978" s="7" t="n">
        <v>13194</v>
      </c>
      <c r="H978" s="7" t="n">
        <v>5257</v>
      </c>
      <c r="I978" s="7" t="n">
        <v>9736</v>
      </c>
      <c r="J978" s="8" t="n">
        <v>12.91</v>
      </c>
      <c r="K978" s="9" t="n">
        <f aca="false">(G978+H978+I978)/E978</f>
        <v>0.0667593518040444</v>
      </c>
    </row>
    <row r="979" customFormat="false" ht="14.25" hidden="false" customHeight="true" outlineLevel="0" collapsed="false">
      <c r="A979" s="5" t="s">
        <v>1003</v>
      </c>
      <c r="B979" s="5" t="s">
        <v>14</v>
      </c>
      <c r="C979" s="6" t="n">
        <v>45831</v>
      </c>
      <c r="D979" s="5" t="s">
        <v>15</v>
      </c>
      <c r="E979" s="7" t="n">
        <v>7766</v>
      </c>
      <c r="F979" s="7" t="n">
        <v>2559</v>
      </c>
      <c r="G979" s="7" t="n">
        <v>118</v>
      </c>
      <c r="H979" s="7" t="n">
        <v>48</v>
      </c>
      <c r="I979" s="7" t="n">
        <v>75</v>
      </c>
      <c r="J979" s="8" t="n">
        <v>9.42</v>
      </c>
      <c r="K979" s="9" t="n">
        <f aca="false">(G979+H979+I979)/E979</f>
        <v>0.0310327066701004</v>
      </c>
    </row>
    <row r="980" customFormat="false" ht="14.25" hidden="false" customHeight="true" outlineLevel="0" collapsed="false">
      <c r="A980" s="5" t="s">
        <v>1004</v>
      </c>
      <c r="B980" s="5" t="s">
        <v>18</v>
      </c>
      <c r="C980" s="6" t="n">
        <v>45644</v>
      </c>
      <c r="D980" s="5" t="s">
        <v>28</v>
      </c>
      <c r="E980" s="7" t="n">
        <v>40881</v>
      </c>
      <c r="F980" s="7" t="n">
        <v>28847</v>
      </c>
      <c r="G980" s="7" t="n">
        <v>866</v>
      </c>
      <c r="H980" s="7" t="n">
        <v>207</v>
      </c>
      <c r="I980" s="7" t="n">
        <v>178</v>
      </c>
      <c r="J980" s="8" t="n">
        <v>4.34</v>
      </c>
      <c r="K980" s="9" t="n">
        <f aca="false">(G980+H980+I980)/E980</f>
        <v>0.0306010126953842</v>
      </c>
    </row>
    <row r="981" customFormat="false" ht="14.25" hidden="false" customHeight="true" outlineLevel="0" collapsed="false">
      <c r="A981" s="5" t="s">
        <v>1005</v>
      </c>
      <c r="B981" s="5" t="s">
        <v>33</v>
      </c>
      <c r="C981" s="6" t="n">
        <v>45472</v>
      </c>
      <c r="D981" s="5" t="s">
        <v>19</v>
      </c>
      <c r="E981" s="7" t="n">
        <v>14948</v>
      </c>
      <c r="F981" s="7" t="n">
        <v>8117</v>
      </c>
      <c r="G981" s="7" t="n">
        <v>414</v>
      </c>
      <c r="H981" s="7" t="n">
        <v>163</v>
      </c>
      <c r="I981" s="7" t="n">
        <v>36</v>
      </c>
      <c r="J981" s="8" t="n">
        <v>7.55</v>
      </c>
      <c r="K981" s="9" t="n">
        <f aca="false">(G981+H981+I981)/E981</f>
        <v>0.041008830612791</v>
      </c>
    </row>
    <row r="982" customFormat="false" ht="14.25" hidden="false" customHeight="true" outlineLevel="0" collapsed="false">
      <c r="A982" s="5" t="s">
        <v>1006</v>
      </c>
      <c r="B982" s="5" t="s">
        <v>25</v>
      </c>
      <c r="C982" s="6" t="n">
        <v>45397</v>
      </c>
      <c r="D982" s="5" t="s">
        <v>23</v>
      </c>
      <c r="E982" s="7" t="n">
        <v>423592</v>
      </c>
      <c r="F982" s="7" t="n">
        <v>184173</v>
      </c>
      <c r="G982" s="7" t="n">
        <v>11210</v>
      </c>
      <c r="H982" s="7" t="n">
        <v>4113</v>
      </c>
      <c r="I982" s="7" t="n">
        <v>2791</v>
      </c>
      <c r="J982" s="8" t="n">
        <v>9.84</v>
      </c>
      <c r="K982" s="9" t="n">
        <f aca="false">(G982+H982+I982)/E982</f>
        <v>0.0427628472681259</v>
      </c>
    </row>
    <row r="983" customFormat="false" ht="14.25" hidden="false" customHeight="true" outlineLevel="0" collapsed="false">
      <c r="A983" s="5" t="s">
        <v>1007</v>
      </c>
      <c r="B983" s="5" t="s">
        <v>14</v>
      </c>
      <c r="C983" s="6" t="n">
        <v>45672</v>
      </c>
      <c r="D983" s="5" t="s">
        <v>15</v>
      </c>
      <c r="E983" s="7" t="n">
        <v>25434</v>
      </c>
      <c r="F983" s="7" t="n">
        <v>17008</v>
      </c>
      <c r="G983" s="7" t="n">
        <v>433</v>
      </c>
      <c r="H983" s="7" t="n">
        <v>75</v>
      </c>
      <c r="I983" s="7" t="n">
        <v>442</v>
      </c>
      <c r="J983" s="8" t="n">
        <v>5.59</v>
      </c>
      <c r="K983" s="9" t="n">
        <f aca="false">(G983+H983+I983)/E983</f>
        <v>0.0373515766297083</v>
      </c>
    </row>
    <row r="984" customFormat="false" ht="14.25" hidden="false" customHeight="true" outlineLevel="0" collapsed="false">
      <c r="A984" s="5" t="s">
        <v>1008</v>
      </c>
      <c r="B984" s="5" t="s">
        <v>33</v>
      </c>
      <c r="C984" s="6" t="n">
        <v>45403</v>
      </c>
      <c r="D984" s="5" t="s">
        <v>28</v>
      </c>
      <c r="E984" s="7" t="n">
        <v>4418</v>
      </c>
      <c r="F984" s="7" t="n">
        <v>2307</v>
      </c>
      <c r="G984" s="7" t="n">
        <v>116</v>
      </c>
      <c r="H984" s="7" t="n">
        <v>22</v>
      </c>
      <c r="I984" s="7" t="n">
        <v>14</v>
      </c>
      <c r="J984" s="8" t="n">
        <v>6.59</v>
      </c>
      <c r="K984" s="9" t="n">
        <f aca="false">(G984+H984+I984)/E984</f>
        <v>0.0344047080126754</v>
      </c>
    </row>
    <row r="985" customFormat="false" ht="14.25" hidden="false" customHeight="true" outlineLevel="0" collapsed="false">
      <c r="A985" s="5" t="s">
        <v>1009</v>
      </c>
      <c r="B985" s="5" t="s">
        <v>14</v>
      </c>
      <c r="C985" s="6" t="n">
        <v>45418</v>
      </c>
      <c r="D985" s="5" t="s">
        <v>28</v>
      </c>
      <c r="E985" s="7" t="n">
        <v>2777</v>
      </c>
      <c r="F985" s="7" t="n">
        <v>1342</v>
      </c>
      <c r="G985" s="7" t="n">
        <v>66</v>
      </c>
      <c r="H985" s="7" t="n">
        <v>5</v>
      </c>
      <c r="I985" s="7" t="n">
        <v>25</v>
      </c>
      <c r="J985" s="8" t="n">
        <v>7.15</v>
      </c>
      <c r="K985" s="9" t="n">
        <f aca="false">(G985+H985+I985)/E985</f>
        <v>0.0345696795102629</v>
      </c>
    </row>
    <row r="986" customFormat="false" ht="14.25" hidden="false" customHeight="true" outlineLevel="0" collapsed="false">
      <c r="A986" s="5" t="s">
        <v>1010</v>
      </c>
      <c r="B986" s="5" t="s">
        <v>33</v>
      </c>
      <c r="C986" s="6" t="n">
        <v>45372</v>
      </c>
      <c r="D986" s="5" t="s">
        <v>15</v>
      </c>
      <c r="E986" s="7" t="n">
        <v>11582</v>
      </c>
      <c r="F986" s="7" t="n">
        <v>5633</v>
      </c>
      <c r="G986" s="7" t="n">
        <v>93</v>
      </c>
      <c r="H986" s="7" t="n">
        <v>73</v>
      </c>
      <c r="I986" s="7" t="n">
        <v>32</v>
      </c>
      <c r="J986" s="8" t="n">
        <v>3.52</v>
      </c>
      <c r="K986" s="9" t="n">
        <f aca="false">(G986+H986+I986)/E986</f>
        <v>0.0170954930063892</v>
      </c>
    </row>
    <row r="987" customFormat="false" ht="14.25" hidden="false" customHeight="true" outlineLevel="0" collapsed="false">
      <c r="A987" s="5" t="s">
        <v>1011</v>
      </c>
      <c r="B987" s="5" t="s">
        <v>14</v>
      </c>
      <c r="C987" s="6" t="n">
        <v>45716</v>
      </c>
      <c r="D987" s="5" t="s">
        <v>15</v>
      </c>
      <c r="E987" s="7" t="n">
        <v>5501</v>
      </c>
      <c r="F987" s="7" t="n">
        <v>3359</v>
      </c>
      <c r="G987" s="7" t="n">
        <v>75</v>
      </c>
      <c r="H987" s="7" t="n">
        <v>27</v>
      </c>
      <c r="I987" s="7" t="n">
        <v>56</v>
      </c>
      <c r="J987" s="8" t="n">
        <v>4.7</v>
      </c>
      <c r="K987" s="9" t="n">
        <f aca="false">(G987+H987+I987)/E987</f>
        <v>0.0287220505362661</v>
      </c>
    </row>
    <row r="988" customFormat="false" ht="14.25" hidden="false" customHeight="true" outlineLevel="0" collapsed="false">
      <c r="A988" s="5" t="s">
        <v>1012</v>
      </c>
      <c r="B988" s="5" t="s">
        <v>22</v>
      </c>
      <c r="C988" s="6" t="n">
        <v>45419</v>
      </c>
      <c r="D988" s="5" t="s">
        <v>15</v>
      </c>
      <c r="E988" s="7" t="n">
        <v>4273</v>
      </c>
      <c r="F988" s="7" t="n">
        <v>2786</v>
      </c>
      <c r="G988" s="7" t="n">
        <v>65</v>
      </c>
      <c r="H988" s="7" t="n">
        <v>21</v>
      </c>
      <c r="I988" s="7" t="n">
        <v>50</v>
      </c>
      <c r="J988" s="8" t="n">
        <v>4.88</v>
      </c>
      <c r="K988" s="9" t="n">
        <f aca="false">(G988+H988+I988)/E988</f>
        <v>0.0318277556751697</v>
      </c>
    </row>
    <row r="989" customFormat="false" ht="14.25" hidden="false" customHeight="true" outlineLevel="0" collapsed="false">
      <c r="A989" s="5" t="s">
        <v>1013</v>
      </c>
      <c r="B989" s="5" t="s">
        <v>33</v>
      </c>
      <c r="C989" s="6" t="n">
        <v>45403</v>
      </c>
      <c r="D989" s="5" t="s">
        <v>23</v>
      </c>
      <c r="E989" s="7" t="n">
        <v>22423</v>
      </c>
      <c r="F989" s="7" t="n">
        <v>17363</v>
      </c>
      <c r="G989" s="7" t="n">
        <v>539</v>
      </c>
      <c r="H989" s="7" t="n">
        <v>246</v>
      </c>
      <c r="I989" s="7" t="n">
        <v>144</v>
      </c>
      <c r="J989" s="8" t="n">
        <v>5.35</v>
      </c>
      <c r="K989" s="9" t="n">
        <f aca="false">(G989+H989+I989)/E989</f>
        <v>0.0414306738616599</v>
      </c>
    </row>
    <row r="990" customFormat="false" ht="14.25" hidden="false" customHeight="true" outlineLevel="0" collapsed="false">
      <c r="A990" s="5" t="s">
        <v>1014</v>
      </c>
      <c r="B990" s="5" t="s">
        <v>14</v>
      </c>
      <c r="C990" s="6" t="n">
        <v>45529</v>
      </c>
      <c r="D990" s="5" t="s">
        <v>28</v>
      </c>
      <c r="E990" s="7" t="n">
        <v>20903</v>
      </c>
      <c r="F990" s="7" t="n">
        <v>10809</v>
      </c>
      <c r="G990" s="7" t="n">
        <v>304</v>
      </c>
      <c r="H990" s="7" t="n">
        <v>127</v>
      </c>
      <c r="I990" s="7" t="n">
        <v>200</v>
      </c>
      <c r="J990" s="8" t="n">
        <v>5.84</v>
      </c>
      <c r="K990" s="9" t="n">
        <f aca="false">(G990+H990+I990)/E990</f>
        <v>0.0301870544897862</v>
      </c>
    </row>
    <row r="991" customFormat="false" ht="14.25" hidden="false" customHeight="true" outlineLevel="0" collapsed="false">
      <c r="A991" s="5" t="s">
        <v>1015</v>
      </c>
      <c r="B991" s="5" t="s">
        <v>18</v>
      </c>
      <c r="C991" s="6" t="n">
        <v>45793</v>
      </c>
      <c r="D991" s="5" t="s">
        <v>26</v>
      </c>
      <c r="E991" s="7" t="n">
        <v>96470</v>
      </c>
      <c r="F991" s="7" t="n">
        <v>57260</v>
      </c>
      <c r="G991" s="7" t="n">
        <v>1230</v>
      </c>
      <c r="H991" s="7" t="n">
        <v>539</v>
      </c>
      <c r="I991" s="7" t="n">
        <v>144</v>
      </c>
      <c r="J991" s="8" t="n">
        <v>3.34</v>
      </c>
      <c r="K991" s="9" t="n">
        <f aca="false">(G991+H991+I991)/E991</f>
        <v>0.0198299989634083</v>
      </c>
    </row>
    <row r="992" customFormat="false" ht="14.25" hidden="false" customHeight="true" outlineLevel="0" collapsed="false">
      <c r="A992" s="5" t="s">
        <v>1016</v>
      </c>
      <c r="B992" s="5" t="s">
        <v>22</v>
      </c>
      <c r="C992" s="6" t="n">
        <v>45825</v>
      </c>
      <c r="D992" s="5" t="s">
        <v>19</v>
      </c>
      <c r="E992" s="7" t="n">
        <v>14054</v>
      </c>
      <c r="F992" s="7" t="n">
        <v>9988</v>
      </c>
      <c r="G992" s="7" t="n">
        <v>217</v>
      </c>
      <c r="H992" s="7" t="n">
        <v>41</v>
      </c>
      <c r="I992" s="7" t="n">
        <v>62</v>
      </c>
      <c r="J992" s="8" t="n">
        <v>3.2</v>
      </c>
      <c r="K992" s="9" t="n">
        <f aca="false">(G992+H992+I992)/E992</f>
        <v>0.0227693183435321</v>
      </c>
    </row>
    <row r="993" customFormat="false" ht="14.25" hidden="false" customHeight="true" outlineLevel="0" collapsed="false">
      <c r="A993" s="5" t="s">
        <v>1017</v>
      </c>
      <c r="B993" s="5" t="s">
        <v>22</v>
      </c>
      <c r="C993" s="6" t="n">
        <v>45316</v>
      </c>
      <c r="D993" s="5" t="s">
        <v>15</v>
      </c>
      <c r="E993" s="7" t="n">
        <v>3747</v>
      </c>
      <c r="F993" s="7" t="n">
        <v>1978</v>
      </c>
      <c r="G993" s="7" t="n">
        <v>26</v>
      </c>
      <c r="H993" s="7" t="n">
        <v>4</v>
      </c>
      <c r="I993" s="7" t="n">
        <v>23</v>
      </c>
      <c r="J993" s="8" t="n">
        <v>2.68</v>
      </c>
      <c r="K993" s="9" t="n">
        <f aca="false">(G993+H993+I993)/E993</f>
        <v>0.0141446490525754</v>
      </c>
    </row>
    <row r="994" customFormat="false" ht="14.25" hidden="false" customHeight="true" outlineLevel="0" collapsed="false">
      <c r="A994" s="5" t="s">
        <v>1018</v>
      </c>
      <c r="B994" s="5" t="s">
        <v>14</v>
      </c>
      <c r="C994" s="6" t="n">
        <v>45544</v>
      </c>
      <c r="D994" s="5" t="s">
        <v>15</v>
      </c>
      <c r="E994" s="7" t="n">
        <v>10380</v>
      </c>
      <c r="F994" s="7" t="n">
        <v>4344</v>
      </c>
      <c r="G994" s="7" t="n">
        <v>131</v>
      </c>
      <c r="H994" s="7" t="n">
        <v>71</v>
      </c>
      <c r="I994" s="7" t="n">
        <v>37</v>
      </c>
      <c r="J994" s="8" t="n">
        <v>5.5</v>
      </c>
      <c r="K994" s="9" t="n">
        <f aca="false">(G994+H994+I994)/E994</f>
        <v>0.0230250481695568</v>
      </c>
    </row>
    <row r="995" customFormat="false" ht="14.25" hidden="false" customHeight="true" outlineLevel="0" collapsed="false">
      <c r="A995" s="5" t="s">
        <v>1019</v>
      </c>
      <c r="B995" s="5" t="s">
        <v>22</v>
      </c>
      <c r="C995" s="6" t="n">
        <v>45954</v>
      </c>
      <c r="D995" s="5" t="s">
        <v>15</v>
      </c>
      <c r="E995" s="7" t="n">
        <v>22714</v>
      </c>
      <c r="F995" s="7" t="n">
        <v>14395</v>
      </c>
      <c r="G995" s="7" t="n">
        <v>298</v>
      </c>
      <c r="H995" s="7" t="n">
        <v>92</v>
      </c>
      <c r="I995" s="7" t="n">
        <v>119</v>
      </c>
      <c r="J995" s="8" t="n">
        <v>3.54</v>
      </c>
      <c r="K995" s="9" t="n">
        <f aca="false">(G995+H995+I995)/E995</f>
        <v>0.0224090869067535</v>
      </c>
    </row>
    <row r="996" customFormat="false" ht="14.25" hidden="false" customHeight="true" outlineLevel="0" collapsed="false">
      <c r="A996" s="5" t="s">
        <v>1020</v>
      </c>
      <c r="B996" s="5" t="s">
        <v>14</v>
      </c>
      <c r="C996" s="6" t="n">
        <v>45423</v>
      </c>
      <c r="D996" s="5" t="s">
        <v>28</v>
      </c>
      <c r="E996" s="7" t="n">
        <v>26648</v>
      </c>
      <c r="F996" s="7" t="n">
        <v>9105</v>
      </c>
      <c r="G996" s="7" t="n">
        <v>204</v>
      </c>
      <c r="H996" s="7" t="n">
        <v>127</v>
      </c>
      <c r="I996" s="7" t="n">
        <v>107</v>
      </c>
      <c r="J996" s="8" t="n">
        <v>4.81</v>
      </c>
      <c r="K996" s="9" t="n">
        <f aca="false">(G996+H996+I996)/E996</f>
        <v>0.0164365055538877</v>
      </c>
    </row>
    <row r="997" customFormat="false" ht="14.25" hidden="false" customHeight="true" outlineLevel="0" collapsed="false">
      <c r="A997" s="5" t="s">
        <v>1021</v>
      </c>
      <c r="B997" s="5" t="s">
        <v>18</v>
      </c>
      <c r="C997" s="6" t="n">
        <v>45739</v>
      </c>
      <c r="D997" s="5" t="s">
        <v>19</v>
      </c>
      <c r="E997" s="7" t="n">
        <v>2934</v>
      </c>
      <c r="F997" s="7" t="n">
        <v>1462</v>
      </c>
      <c r="G997" s="7" t="n">
        <v>116</v>
      </c>
      <c r="H997" s="7" t="n">
        <v>19</v>
      </c>
      <c r="I997" s="7" t="n">
        <v>1</v>
      </c>
      <c r="J997" s="8" t="n">
        <v>9.3</v>
      </c>
      <c r="K997" s="9" t="n">
        <f aca="false">(G997+H997+I997)/E997</f>
        <v>0.0463531015678255</v>
      </c>
    </row>
    <row r="998" customFormat="false" ht="14.25" hidden="false" customHeight="true" outlineLevel="0" collapsed="false">
      <c r="A998" s="5" t="s">
        <v>1022</v>
      </c>
      <c r="B998" s="5" t="s">
        <v>18</v>
      </c>
      <c r="C998" s="6" t="n">
        <v>45804</v>
      </c>
      <c r="D998" s="5" t="s">
        <v>28</v>
      </c>
      <c r="E998" s="7" t="n">
        <v>84023</v>
      </c>
      <c r="F998" s="7" t="n">
        <v>35548</v>
      </c>
      <c r="G998" s="7" t="n">
        <v>2015</v>
      </c>
      <c r="H998" s="7" t="n">
        <v>347</v>
      </c>
      <c r="I998" s="7" t="n">
        <v>74</v>
      </c>
      <c r="J998" s="8" t="n">
        <v>6.85</v>
      </c>
      <c r="K998" s="9" t="n">
        <f aca="false">(G998+H998+I998)/E998</f>
        <v>0.0289920616973924</v>
      </c>
    </row>
    <row r="999" customFormat="false" ht="14.25" hidden="false" customHeight="true" outlineLevel="0" collapsed="false">
      <c r="A999" s="5" t="s">
        <v>1023</v>
      </c>
      <c r="B999" s="5" t="s">
        <v>14</v>
      </c>
      <c r="C999" s="6" t="n">
        <v>45906</v>
      </c>
      <c r="D999" s="5" t="s">
        <v>15</v>
      </c>
      <c r="E999" s="7" t="n">
        <v>10873</v>
      </c>
      <c r="F999" s="7" t="n">
        <v>4156</v>
      </c>
      <c r="G999" s="7" t="n">
        <v>61</v>
      </c>
      <c r="H999" s="7" t="n">
        <v>16</v>
      </c>
      <c r="I999" s="7" t="n">
        <v>22</v>
      </c>
      <c r="J999" s="8" t="n">
        <v>2.38</v>
      </c>
      <c r="K999" s="9" t="n">
        <f aca="false">(G999+H999+I999)/E999</f>
        <v>0.00910512278120114</v>
      </c>
    </row>
    <row r="1000" customFormat="false" ht="14.25" hidden="false" customHeight="true" outlineLevel="0" collapsed="false">
      <c r="A1000" s="5" t="s">
        <v>1024</v>
      </c>
      <c r="B1000" s="5" t="s">
        <v>14</v>
      </c>
      <c r="C1000" s="6" t="n">
        <v>45599</v>
      </c>
      <c r="D1000" s="5" t="s">
        <v>23</v>
      </c>
      <c r="E1000" s="7" t="n">
        <v>2959</v>
      </c>
      <c r="F1000" s="7" t="n">
        <v>1258</v>
      </c>
      <c r="G1000" s="7" t="n">
        <v>17</v>
      </c>
      <c r="H1000" s="7" t="n">
        <v>10</v>
      </c>
      <c r="I1000" s="7" t="n">
        <v>28</v>
      </c>
      <c r="J1000" s="8" t="n">
        <v>4.37</v>
      </c>
      <c r="K1000" s="9" t="n">
        <f aca="false">(G1000+H1000+I1000)/E1000</f>
        <v>0.0185873605947955</v>
      </c>
    </row>
    <row r="1001" customFormat="false" ht="14.25" hidden="false" customHeight="true" outlineLevel="0" collapsed="false">
      <c r="A1001" s="5" t="s">
        <v>1025</v>
      </c>
      <c r="B1001" s="5" t="s">
        <v>25</v>
      </c>
      <c r="C1001" s="6" t="n">
        <v>45717</v>
      </c>
      <c r="D1001" s="5" t="s">
        <v>26</v>
      </c>
      <c r="E1001" s="7" t="n">
        <v>132006</v>
      </c>
      <c r="F1001" s="7" t="n">
        <v>59268</v>
      </c>
      <c r="G1001" s="7" t="n">
        <v>4064</v>
      </c>
      <c r="H1001" s="7" t="n">
        <v>1000</v>
      </c>
      <c r="I1001" s="7" t="n">
        <v>2514</v>
      </c>
      <c r="J1001" s="8" t="n">
        <v>12.79</v>
      </c>
      <c r="K1001" s="9" t="n">
        <f aca="false">(G1001+H1001+I1001)/E1001</f>
        <v>0.0574064815235671</v>
      </c>
    </row>
  </sheetData>
  <autoFilter ref="A1:J100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6"/>
  </cols>
  <sheetData>
    <row r="1" customFormat="false" ht="16.15" hidden="false" customHeight="false" outlineLevel="0" collapsed="false">
      <c r="A1" s="15" t="s">
        <v>1026</v>
      </c>
    </row>
    <row r="3" customFormat="false" ht="15" hidden="false" customHeight="false" outlineLevel="0" collapsed="false">
      <c r="A3" s="16" t="s">
        <v>1</v>
      </c>
      <c r="B3" s="16" t="s">
        <v>1027</v>
      </c>
      <c r="C3" s="16" t="s">
        <v>1028</v>
      </c>
    </row>
    <row r="4" customFormat="false" ht="15" hidden="false" customHeight="false" outlineLevel="0" collapsed="false">
      <c r="A4" s="17" t="s">
        <v>14</v>
      </c>
      <c r="B4" s="18" t="n">
        <f aca="false">SUMIF('Social Media Analytics'!B:B,A4,'Social Media Analytics'!E:E)</f>
        <v>4229271</v>
      </c>
      <c r="C4" s="18" t="n">
        <f aca="false">SUMIF('Social Media Analytics'!B:B,A4,'Social Media Analytics'!G:G)</f>
        <v>62993</v>
      </c>
    </row>
    <row r="5" customFormat="false" ht="15" hidden="false" customHeight="false" outlineLevel="0" collapsed="false">
      <c r="A5" s="17" t="s">
        <v>18</v>
      </c>
      <c r="B5" s="18" t="n">
        <f aca="false">SUMIF('Social Media Analytics'!B:B,A5,'Social Media Analytics'!E:E)</f>
        <v>12425477</v>
      </c>
      <c r="C5" s="18" t="n">
        <f aca="false">SUMIF('Social Media Analytics'!B:B,A5,'Social Media Analytics'!G:G)</f>
        <v>371886</v>
      </c>
    </row>
    <row r="6" customFormat="false" ht="15" hidden="false" customHeight="false" outlineLevel="0" collapsed="false">
      <c r="A6" s="17" t="s">
        <v>33</v>
      </c>
      <c r="B6" s="18" t="n">
        <f aca="false">SUMIF('Social Media Analytics'!B:B,A6,'Social Media Analytics'!E:E)</f>
        <v>2033218</v>
      </c>
      <c r="C6" s="18" t="n">
        <f aca="false">SUMIF('Social Media Analytics'!B:B,A6,'Social Media Analytics'!G:G)</f>
        <v>46667</v>
      </c>
    </row>
    <row r="7" customFormat="false" ht="15" hidden="false" customHeight="false" outlineLevel="0" collapsed="false">
      <c r="A7" s="17" t="s">
        <v>25</v>
      </c>
      <c r="B7" s="18" t="n">
        <f aca="false">SUMIF('Social Media Analytics'!B:B,A7,'Social Media Analytics'!E:E)</f>
        <v>56611226</v>
      </c>
      <c r="C7" s="18" t="n">
        <f aca="false">SUMIF('Social Media Analytics'!B:B,A7,'Social Media Analytics'!G:G)</f>
        <v>2070105</v>
      </c>
    </row>
    <row r="8" customFormat="false" ht="15" hidden="false" customHeight="false" outlineLevel="0" collapsed="false">
      <c r="A8" s="17" t="s">
        <v>22</v>
      </c>
      <c r="B8" s="18" t="n">
        <f aca="false">SUMIF('Social Media Analytics'!B:B,A8,'Social Media Analytics'!E:E)</f>
        <v>2930077</v>
      </c>
      <c r="C8" s="18" t="n">
        <f aca="false">SUMIF('Social Media Analytics'!B:B,A8,'Social Media Analytics'!G:G)</f>
        <v>37591</v>
      </c>
    </row>
    <row r="9" customFormat="false" ht="15" hidden="false" customHeight="false" outlineLevel="0" collapsed="false">
      <c r="A9" s="19" t="s">
        <v>1029</v>
      </c>
      <c r="B9" s="20" t="n">
        <f aca="false">SUM(B4:B8)</f>
        <v>78229269</v>
      </c>
      <c r="C9" s="20" t="n">
        <f aca="false">SUM(C4:C8)</f>
        <v>2589242</v>
      </c>
    </row>
    <row r="11" customFormat="false" ht="15" hidden="false" customHeight="true" outlineLevel="0" collapsed="false">
      <c r="A11" s="21" t="s">
        <v>1030</v>
      </c>
      <c r="B11" s="21"/>
      <c r="C11" s="21"/>
      <c r="D11" s="21"/>
      <c r="E11" s="21"/>
      <c r="F11" s="21"/>
    </row>
    <row r="12" customFormat="false" ht="15" hidden="false" customHeight="false" outlineLevel="0" collapsed="false">
      <c r="A12" s="21"/>
      <c r="B12" s="21"/>
      <c r="C12" s="21"/>
      <c r="D12" s="21"/>
      <c r="E12" s="21"/>
      <c r="F12" s="21"/>
    </row>
    <row r="13" customFormat="false" ht="15" hidden="false" customHeight="false" outlineLevel="0" collapsed="false">
      <c r="A13" s="21"/>
      <c r="B13" s="21"/>
      <c r="C13" s="21"/>
      <c r="D13" s="21"/>
      <c r="E13" s="21"/>
      <c r="F13" s="21"/>
    </row>
  </sheetData>
  <mergeCells count="1">
    <mergeCell ref="A11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2026-03-11T02:30:31Z</dcterms:created>
  <dc:creator>Sumit Bansal</dc:creator>
  <dc:description/>
  <dc:language>en-US</dc:language>
  <cp:lastModifiedBy/>
  <dcterms:modified xsi:type="dcterms:W3CDTF">2026-09-02T15:43:38Z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